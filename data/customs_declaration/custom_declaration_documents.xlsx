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firstSheet="1" activeTab="5"/>
  </bookViews>
  <sheets>
    <sheet name="报关单" sheetId="1" r:id="rId1"/>
    <sheet name="申报要素" sheetId="6" r:id="rId2"/>
    <sheet name="填制规范" sheetId="7" r:id="rId3"/>
    <sheet name="发票" sheetId="3" r:id="rId4"/>
    <sheet name="箱单" sheetId="4" r:id="rId5"/>
    <sheet name="合同" sheetId="2" r:id="rId6"/>
    <sheet name="委托书" sheetId="5" r:id="rId7"/>
  </sheets>
  <definedNames>
    <definedName name="_xlnm._FilterDatabase" localSheetId="0" hidden="1">报关单!$A$19:$BY$169</definedName>
    <definedName name="_xlnm._FilterDatabase" localSheetId="1" hidden="1">申报要素!$A$9:$I$59</definedName>
    <definedName name="_xlnm.Print_Area" localSheetId="0">报关单!$A$1:$T$169</definedName>
    <definedName name="_xlnm.Print_Area" localSheetId="3">发票!$A$1:$I$58</definedName>
    <definedName name="_xlnm.Print_Area" localSheetId="5">合同!$A$1:$K$75</definedName>
    <definedName name="_xlnm.Print_Area" localSheetId="1">申报要素!$A$7:$I$61</definedName>
    <definedName name="_xlnm.Print_Area" localSheetId="6">委托书!$A$1:$J$49</definedName>
    <definedName name="_xlnm.Print_Area" localSheetId="4">箱单!$A$1:$H$43</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<sst xmlns="http://schemas.openxmlformats.org/spreadsheetml/2006/main" count="908" uniqueCount="345">
  <si>
    <t>中华人民共和国海关出口货物报关单</t>
  </si>
  <si>
    <t>预录入编号：</t>
  </si>
  <si>
    <t>申报口岸:</t>
  </si>
  <si>
    <t>海关编号:</t>
  </si>
  <si>
    <t>境内发货人</t>
  </si>
  <si>
    <t>出境关别</t>
  </si>
  <si>
    <t>( 大鹏海关  )</t>
  </si>
  <si>
    <t>出口日期</t>
  </si>
  <si>
    <t>申报日期</t>
  </si>
  <si>
    <t>备案号</t>
  </si>
  <si>
    <t>签约地点：</t>
  </si>
  <si>
    <t>深圳</t>
  </si>
  <si>
    <t>深圳市新棱镜贸易有限公司</t>
  </si>
  <si>
    <t>成交方式:</t>
  </si>
  <si>
    <t>SHENZHEN</t>
  </si>
  <si>
    <t>付款条件：</t>
  </si>
  <si>
    <t>电汇 先出后结</t>
  </si>
  <si>
    <t>境外收货人</t>
  </si>
  <si>
    <t>AEO：</t>
  </si>
  <si>
    <t>运输方式</t>
  </si>
  <si>
    <t>(    )</t>
  </si>
  <si>
    <t>运输工具名称及航次号</t>
  </si>
  <si>
    <t>提运单号</t>
  </si>
  <si>
    <t>卖方公司：</t>
  </si>
  <si>
    <t>HONG KONG YUN QI LIAN TECHNOLOGY LIMITED</t>
  </si>
  <si>
    <t>水路运输</t>
  </si>
  <si>
    <t>卖方地址：</t>
  </si>
  <si>
    <t>1702, Block C, Rongchuang Zhihui Building, Longhua District, Shenzhen City, China.</t>
  </si>
  <si>
    <t>生产销售单位</t>
  </si>
  <si>
    <t>监管方式</t>
  </si>
  <si>
    <t>征免性质</t>
  </si>
  <si>
    <t>许可证号</t>
  </si>
  <si>
    <t>卖方电话：</t>
  </si>
  <si>
    <t>卖方传真：</t>
  </si>
  <si>
    <t>一般贸易</t>
  </si>
  <si>
    <t>一般征税</t>
  </si>
  <si>
    <t>买方公司：</t>
  </si>
  <si>
    <t>合同协议号</t>
  </si>
  <si>
    <t>贸易国(地区)</t>
  </si>
  <si>
    <t>运抵国(地区)</t>
  </si>
  <si>
    <t>指运港</t>
  </si>
  <si>
    <t>离境口岸</t>
  </si>
  <si>
    <t>(    )跨境的才需要申报</t>
  </si>
  <si>
    <t>买方地址：</t>
  </si>
  <si>
    <t>RM 10, 23/F NEW TREND CTR NO704 PRINCE EDWARD RD EAST SANPO KONGHONG KONG</t>
  </si>
  <si>
    <t>香港</t>
  </si>
  <si>
    <t>英国</t>
  </si>
  <si>
    <t>买方电话：</t>
  </si>
  <si>
    <t>买方传真：</t>
  </si>
  <si>
    <t>包装种类</t>
  </si>
  <si>
    <t>( 纸箱   )</t>
  </si>
  <si>
    <t>件数</t>
  </si>
  <si>
    <t>毛重（千克）</t>
  </si>
  <si>
    <t>净重（千克）</t>
  </si>
  <si>
    <t>成交方式</t>
  </si>
  <si>
    <t>(  )</t>
  </si>
  <si>
    <t>运费</t>
  </si>
  <si>
    <t>保费</t>
  </si>
  <si>
    <t>杂费</t>
  </si>
  <si>
    <t>报关简称：</t>
  </si>
  <si>
    <t>报关全称：</t>
  </si>
  <si>
    <t>FOB</t>
  </si>
  <si>
    <t>境外收货人：</t>
  </si>
  <si>
    <t>境外收货人通常指签订并执行出口贸易合同中的买方或合同指定的收货人，名称一般填报英文名称，检验检疫要求填报其他外文名称的，在英文名称后填报，以半角括号分隔。</t>
  </si>
  <si>
    <t>随附单证及编号</t>
  </si>
  <si>
    <t>境外收货人代码：</t>
  </si>
  <si>
    <t>非互认国家（地区）AEO企业等其他情形，编码免于填报。对于AEO互认国家（地区）企业的，编码填报AEO编码，填报样式按照海关总署发布的相关公告要求填报（如新加坡AEO企业填报样式为：SG123456789012，韩国AEO企业填报样式为KR1234567，具体见相关公告要求）。</t>
  </si>
  <si>
    <t>境外收货人完整显示：</t>
  </si>
  <si>
    <t>检验检疫附加编号：</t>
  </si>
  <si>
    <t>通过以下网站输入10位HS编号，再根据申报要素细分确定3位检疫附加编号</t>
  </si>
  <si>
    <t>标记唛码及备注：</t>
  </si>
  <si>
    <t>退税</t>
  </si>
  <si>
    <t>检疫局网址-编码查询：</t>
  </si>
  <si>
    <t>https://e-service.shciq.gov.cn/shesp/</t>
  </si>
  <si>
    <t>备注：</t>
  </si>
  <si>
    <t>查申报要素网址：</t>
  </si>
  <si>
    <t>http://www.hscode.net/IntegrateQueries/QueryYS/</t>
  </si>
  <si>
    <t>报关联系电话：</t>
  </si>
  <si>
    <t>合计：</t>
  </si>
  <si>
    <r>
      <rPr>
        <sz val="10"/>
        <color indexed="10"/>
        <rFont val="宋体"/>
        <charset val="134"/>
      </rPr>
      <t>贸易国：</t>
    </r>
    <r>
      <rPr>
        <sz val="10"/>
        <rFont val="宋体"/>
        <charset val="134"/>
      </rPr>
      <t>出口是指</t>
    </r>
    <r>
      <rPr>
        <sz val="10"/>
        <color indexed="10"/>
        <rFont val="宋体"/>
        <charset val="134"/>
      </rPr>
      <t>合同买方所在的国家</t>
    </r>
    <r>
      <rPr>
        <sz val="10"/>
        <rFont val="宋体"/>
        <charset val="134"/>
      </rPr>
      <t>（地区），需填写准确，以后可能会影响收汇。</t>
    </r>
  </si>
  <si>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</si>
  <si>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</si>
  <si>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</si>
  <si>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</si>
  <si>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</si>
  <si>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</si>
  <si>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</si>
  <si>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</si>
  <si>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</si>
  <si>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</si>
  <si>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</si>
  <si>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</si>
  <si>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</si>
  <si>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境内货源地</t>
  </si>
  <si>
    <t>征免</t>
  </si>
  <si>
    <t>净重</t>
  </si>
  <si>
    <t>毛重</t>
  </si>
  <si>
    <t>中国</t>
  </si>
  <si>
    <t>深圳特区</t>
  </si>
  <si>
    <t>照章征税</t>
  </si>
  <si>
    <t>条</t>
  </si>
  <si>
    <t>人民币</t>
  </si>
  <si>
    <t>表格制作单位：深圳市长来运报关有限公司QQ1152276688</t>
  </si>
  <si>
    <t>(产品或者包装上有明显的logo，带R，TM标识的商标必须申报为品牌，有显示型号（model，type no.）的必须申报为型号)(申报的牌子型号要在产品或包装上有一模一样显示，海关查货的话会去比对拍照，对不上会升级整车查验和压车改单）</t>
  </si>
  <si>
    <t>(申报的牌子型号要在产品或包装上有一模一样显示，海关查货的话会去比对拍照，对不上会升级整车查验和压车改单）</t>
  </si>
  <si>
    <t>检验检疫附加编号：通过以下网站输入10位HS编号，再根据申报要素细分确定3位检疫附加编号</t>
  </si>
  <si>
    <t>申报要素查询网址：</t>
  </si>
  <si>
    <t>申报要素</t>
  </si>
  <si>
    <t>序号</t>
  </si>
  <si>
    <t>品名</t>
  </si>
  <si>
    <t>海关HS编码</t>
  </si>
  <si>
    <t>检疫附加码</t>
  </si>
  <si>
    <t>品牌</t>
  </si>
  <si>
    <t>型号</t>
  </si>
  <si>
    <t>品牌类型</t>
  </si>
  <si>
    <t>出口享惠情况</t>
  </si>
  <si>
    <t>其他申报要素</t>
  </si>
  <si>
    <t>编织表带</t>
  </si>
  <si>
    <t>0无品牌</t>
  </si>
  <si>
    <t>BG-20-01</t>
  </si>
  <si>
    <t>0不享惠</t>
  </si>
  <si>
    <t>尼龙</t>
  </si>
  <si>
    <t>BSX1-22-01</t>
  </si>
  <si>
    <t>PG1-45-01</t>
  </si>
  <si>
    <t>QB-16</t>
  </si>
  <si>
    <t>SX1-22-01</t>
  </si>
  <si>
    <t>SX2-22-01</t>
  </si>
  <si>
    <t>SX3-22-01</t>
  </si>
  <si>
    <t>表带</t>
  </si>
  <si>
    <t>XY140-L1</t>
  </si>
  <si>
    <t>硅胶</t>
  </si>
  <si>
    <t>XY140-S1</t>
  </si>
  <si>
    <t>XY37-1</t>
  </si>
  <si>
    <t>金属</t>
  </si>
  <si>
    <t>XY37-3</t>
  </si>
  <si>
    <t>硅胶表带</t>
  </si>
  <si>
    <t>ZF-3</t>
  </si>
  <si>
    <t>手表表带</t>
  </si>
  <si>
    <t>ZY2-3</t>
  </si>
  <si>
    <t>项目</t>
  </si>
  <si>
    <t>2018年8月实行新的报关单的填制规范，红色为新增的项目</t>
  </si>
  <si>
    <t>境内收发货人</t>
  </si>
  <si>
    <t>填报在海关备案的对外签订并执行进出口贸易合同的中国境内法人、其他组织名称及编码。编码填报18位法人和其他组织统一社会信用代码，没有统一社会信用代码的，填报其在海关的备案编码。</t>
  </si>
  <si>
    <t>进出境关别</t>
  </si>
  <si>
    <t>根据货物实际进出境的口岸海关，填报海关规定的《关区代码表》中相应口岸海关的名称及代码。</t>
  </si>
  <si>
    <t>填报进出口货物收发货人、消费使用单位、生产销售单位在海关办理加工贸易合同备案或征、减、免税审核确认等手续时，海关核发的《加工贸易手册》、海关特殊监管区域和保税监管场所保税账册、《征免税证明》或其他备案审批文件的编号。一份报关单只允许填报一个备案号。</t>
  </si>
  <si>
    <t>境外收发货人</t>
  </si>
  <si>
    <r>
      <rPr>
        <sz val="12"/>
        <color indexed="10"/>
        <rFont val="宋体"/>
        <charset val="134"/>
      </rPr>
      <t>非互认国家（地区）AEO企业等其他情形，编码免于填报。</t>
    </r>
    <r>
      <rPr>
        <sz val="12"/>
        <rFont val="宋体"/>
        <charset val="134"/>
      </rPr>
      <t>境外收货人通常指签订并执行出口贸易合同中的买方或合同指定的收货人，境外发货人通常指签订并执行进口贸易合同中的卖方。填报境外收发货人的名称及编码。名称一般填报英文名称，检验检疫要求填报其他外文名称的，在英文名称后填报，以半角括号分隔；对于AEO互认国家（地区）企业的，编码填报AEO编码，填报样式按照海关总署发布的相关公告要求填报（如新加坡AEO企业填报样式为：SG123456789012，韩国AEO企业填报样式为KR1234567，具体见相关公告要求）。</t>
    </r>
  </si>
  <si>
    <t>货物存放地点-进口</t>
  </si>
  <si>
    <r>
      <rPr>
        <sz val="12"/>
        <rFont val="宋体"/>
        <charset val="134"/>
      </rPr>
      <t>填报货物</t>
    </r>
    <r>
      <rPr>
        <b/>
        <sz val="12"/>
        <color indexed="10"/>
        <rFont val="宋体"/>
        <charset val="134"/>
      </rPr>
      <t>进境后</t>
    </r>
    <r>
      <rPr>
        <sz val="12"/>
        <rFont val="宋体"/>
        <charset val="134"/>
      </rPr>
      <t>存放的场所或地点，包括海关监管作业场所、分拨仓库、定点加工厂、隔离检疫场、企业自有仓库等。</t>
    </r>
  </si>
  <si>
    <t>消费使用单位-进口</t>
  </si>
  <si>
    <t>消费使用单位填报已知的进口货物在境内的最终消费、使用单位的名称，包括：1．自行进口货物的单位。2．委托进出口企业进口货物的单位。</t>
  </si>
  <si>
    <t>生产销售单位-出口</t>
  </si>
  <si>
    <t>生产销售单位填报出口货物在境内的生产或销售单位的名称，包括：1．自行出口货物的单位。2．委托进出口企业出口货物的单位。</t>
  </si>
  <si>
    <t>填报进（出）口许可证、两用物项和技术进（出）口许可证、两用物项和技术出口许可证（定向）、纺织品临时出口许可证、出口许可证（加工贸易）、出口许可证（边境小额贸易）的编号。一份报关单只允许填报一个许可证号。</t>
  </si>
  <si>
    <t>启运港-进口</t>
  </si>
  <si>
    <r>
      <rPr>
        <sz val="12"/>
        <rFont val="宋体"/>
        <charset val="134"/>
      </rPr>
      <t>填报进口货物在运抵我国关境前的</t>
    </r>
    <r>
      <rPr>
        <sz val="12"/>
        <color indexed="10"/>
        <rFont val="宋体"/>
        <charset val="134"/>
      </rPr>
      <t>第一个境外</t>
    </r>
    <r>
      <rPr>
        <sz val="12"/>
        <rFont val="宋体"/>
        <charset val="134"/>
      </rPr>
      <t>装运港。</t>
    </r>
  </si>
  <si>
    <t>填报进出口货物合同（包括协议或订单）编号。未发生商业性交易的免予填报。</t>
  </si>
  <si>
    <r>
      <rPr>
        <sz val="12"/>
        <rFont val="宋体"/>
        <charset val="134"/>
      </rPr>
      <t>发生商业性交易的</t>
    </r>
    <r>
      <rPr>
        <sz val="12"/>
        <color indexed="10"/>
        <rFont val="宋体"/>
        <charset val="134"/>
      </rPr>
      <t>进口填报购自国</t>
    </r>
    <r>
      <rPr>
        <sz val="12"/>
        <rFont val="宋体"/>
        <charset val="134"/>
      </rPr>
      <t>（地区），</t>
    </r>
    <r>
      <rPr>
        <sz val="12"/>
        <color indexed="10"/>
        <rFont val="宋体"/>
        <charset val="134"/>
      </rPr>
      <t>出口填报售予国</t>
    </r>
    <r>
      <rPr>
        <sz val="12"/>
        <rFont val="宋体"/>
        <charset val="134"/>
      </rPr>
      <t>（地区）。未发生商业性交易的填报货物所有权拥有者所属的国家（地区）。</t>
    </r>
  </si>
  <si>
    <t>启运国(地区)-进口</t>
  </si>
  <si>
    <t>启运国（地区）填报进口货物启始发出直接运抵我国或者在运输中转国（地）未发生任何商业性交易的情况下运抵我国的国家（地区）。经过第三国（地区）转运的进出口货物，如在中转国（地区）发生商业性交易，则以中转国（地区）作为启运/运抵国（地区）。</t>
  </si>
  <si>
    <t>运抵国(地区)-出口</t>
  </si>
  <si>
    <t>运抵国（地区）填报出口货物离开我国关境直接运抵或者在运输中转国（地区）未发生任何商业性交易的情况下最后运抵的国家（地区）。经过第三国（地区）转运的进出口货物，如在中转国（地区）发生商业性交易，则以中转国（地区）作为启运/运抵国（地区）。</t>
  </si>
  <si>
    <t>经停港-进口</t>
  </si>
  <si>
    <r>
      <rPr>
        <sz val="12"/>
        <rFont val="宋体"/>
        <charset val="134"/>
      </rPr>
      <t>经停港填报进口货物在运抵我国关境前的</t>
    </r>
    <r>
      <rPr>
        <sz val="12"/>
        <color indexed="10"/>
        <rFont val="宋体"/>
        <charset val="134"/>
      </rPr>
      <t>最后一个境外装运港。</t>
    </r>
  </si>
  <si>
    <t>指运港-出口</t>
  </si>
  <si>
    <r>
      <rPr>
        <sz val="12"/>
        <rFont val="宋体"/>
        <charset val="134"/>
      </rPr>
      <t>指运港填报出口货物</t>
    </r>
    <r>
      <rPr>
        <sz val="12"/>
        <color indexed="10"/>
        <rFont val="宋体"/>
        <charset val="134"/>
      </rPr>
      <t>运往境外的最终目的港</t>
    </r>
    <r>
      <rPr>
        <sz val="12"/>
        <rFont val="宋体"/>
        <charset val="134"/>
      </rPr>
      <t>；最终目的港不可预知的，按尽可能预知的目的港填报。</t>
    </r>
  </si>
  <si>
    <t>入境口岸-进口</t>
  </si>
  <si>
    <t>入境口岸填报进境货物从跨境运输工具卸离的第一个境内口岸的中文名称及代码；采取多式联运跨境运输的，填报多式联运货物最终卸离的境内口岸中文名称及代码；过境货物填报货物进入境内的第一个口岸的中文名称及代码；从海关特殊监管区域或保税监管场所进境的，填报海关特殊监管区域或保税监管场所的中文名称及代码。其他无实际进境的货物，填报货物所在地的城市名称及代码。按海关规定的《国内口岸编码表》选择填报相应的境内口岸名称及代码。</t>
  </si>
  <si>
    <t>离境口岸-出口</t>
  </si>
  <si>
    <t>出境口岸填报装运出境货物的跨境运输工具离境的第一个境内口岸的中文名称及代码；采取多式联运跨境运输的，填报多式联运货物最初离境的境内口岸中文名称及代码；过境货物填报货物离境的第一个境内口岸的中文名称及代码；从海关特殊监管区域或保税监管场所出境的，填报海关特殊监管区域或保税监管场所的中文名称及代码。其他无实际出境的货物，填报货物所在地的城市名称及代码。按海关规定的《国内口岸编码表》选择填报相应的境内口岸名称及代码。</t>
  </si>
  <si>
    <t>填报进出口货物的所有包装材料，包括运输包装和其他包装，按海关规定的《包装种类代码表》选择填报相应的包装种类名称及代码。运输包装指提运单所列货物件数单位对应的包装，其他包装包括货物的各类包装，以及植物性铺垫材料等。</t>
  </si>
  <si>
    <t>填报进出口货物运输包装的件数（按运输包装计）。特殊情况填报要求如下：1.舱单件数为集装箱的，填报集装箱个数。2.舱单件数为托盘的，填报托盘数。不得填报为零，裸装货物填报为“1”。</t>
  </si>
  <si>
    <t>填报进出口货物及其包装材料的重量之和，计量单位为千克，不足一千克的填报为“1”。</t>
  </si>
  <si>
    <t>填报进出口货物的毛重减去外包装材料后的重量，即货物本身的实际重量，计量单位为千克，不足一千克的填报为“1”。</t>
  </si>
  <si>
    <t>根据进出口货物实际成交价格条款，按海关规定的《成交方式代码表》选择填报相应的成交方式代码。无实际进出境的货物，进口填报CIF，出口填报FOB。</t>
  </si>
  <si>
    <t>填报进口货物运抵我国境内输入地点起卸前的运输费用，出口货物运至我国境内输出地点装载后的运输费用。运费可按运费单价、总价或运费率三种方式之一填报，注明运费标记（运费标记“1”表示运费率，“2”表示每吨货物的运费单价，“3”表示运费总价），并按海关规定的《货币代码表》选择填报相应的币种代码。</t>
  </si>
  <si>
    <t>填报进口货物运抵我国境内输入地点起卸前的保险费用，出口货物运至我国境内输出地点装载后的保险费用。保费可按保险费总价或保险费率两种方式之一填报，注明保险费标记（保险费标记“1”表示保险费率，“3”表示保险费总价），并按海关规定的《货币代码表》选择填报相应的币种代码。</t>
  </si>
  <si>
    <t>填报成交价格以外的、按照《中华人民共和国进出口关税条例》相关规定应计入完税价格或应从完税价格中扣除的费用。可按杂费总价或杂费率两种方式之一填报，注明杂费标记（杂费标记“1”表示杂费率，“3”表示杂费总价），并按海关规定的《货币代码表》选择填报相应的币种代码。应计入完税价格的杂费填报为正值或正率，应从完税价格中扣除的杂费填报为负值或负率。</t>
  </si>
  <si>
    <t>根据海关规定的《监管证件代码表》和《随附单据代码表》选择填报除本规范第十六条规定的许可证件以外的其他进出口许可证件或监管证件、随附单据代码及编号。本栏目分为随附单证代码和随附单证编号两栏，其中代码栏按海关规定的《监管证件代码表》和《随附单据代码表》选择填报相应证件代码；随附单证编号栏填报证件编号。</t>
  </si>
  <si>
    <t>标记唛码及备注</t>
  </si>
  <si>
    <t>（三）与本报关单有关联关系的，同时在业务管理规范方面又要求填报的备案号，填报在电子数据报关单中“关联备案”栏。（二十六）集装箱体信息填报集装箱号（在集装箱箱体上标示的全球唯一编号）、集装箱规格、集装箱商品项号关系（单个集装箱对应的商品项号，半角逗号分隔）、集装箱货重（集装箱箱体自重+装载货物重量，千克）。</t>
  </si>
  <si>
    <t>分两行填报。第一行填报报关单中的商品顺序编号；第二行填报“备案序号”，专用于加工贸易及保税、减免税等已备案、审批的货物，填报该项货物在《加工贸易手册》或《征免税证明》等备案、审批单证中的顺序编号。有关优惠贸易协定项下报关单填制要求按照海关总署相关规定执行。</t>
  </si>
  <si>
    <r>
      <rPr>
        <sz val="12"/>
        <color indexed="10"/>
        <rFont val="宋体"/>
        <charset val="134"/>
      </rPr>
      <t>填报由13位数字组成的商品编号。</t>
    </r>
    <r>
      <rPr>
        <sz val="12"/>
        <rFont val="宋体"/>
        <charset val="134"/>
      </rPr>
      <t>前8位为《中华人民共和国进出口税则》和《中华人民共和国海关统计商品目录》确定的编码；9、10位为监管附加编号，</t>
    </r>
    <r>
      <rPr>
        <sz val="12"/>
        <color indexed="10"/>
        <rFont val="宋体"/>
        <charset val="134"/>
      </rPr>
      <t>11-13位为检验检疫附加编号。</t>
    </r>
  </si>
  <si>
    <t>分两行填报。第一行填报进出口货物规范的中文商品名称，第二行填报规格型号。</t>
  </si>
  <si>
    <t>品牌类型为必填项目。可选择“无品牌”、“境内自主品牌”、“境内收购品牌”、“境外品牌（贴牌生产）”、“境外品牌（其他）”如实填报。其中，“境内自主品牌”是指由境内企业自主开发、拥有自主知识产权的品牌；“境内收购品牌”是指境内企业收购的原境外品牌；“境外品牌（贴牌生产）”是指境内企业代工贴牌生产中使用的境外品牌；“境外品牌（其他）”是指除代工贴牌生产以外使用的境外品牌。</t>
  </si>
  <si>
    <t>出口享惠情况为出口报关单必填项目。可选择“出口货物在最终目的国（地区）不享受优惠关税”、“出口货物在最终目的国（地区）享受优惠关税”、“出口货物不能确定在最终目的国（地区）享受优惠关税”如实填报。进口货物报关单不填报该申报项。</t>
  </si>
  <si>
    <r>
      <rPr>
        <sz val="12"/>
        <rFont val="宋体"/>
        <charset val="134"/>
      </rPr>
      <t>分三行填报。</t>
    </r>
    <r>
      <rPr>
        <sz val="12"/>
        <color indexed="10"/>
        <rFont val="宋体"/>
        <charset val="134"/>
      </rPr>
      <t>（三）成交计量单位及数量填报在第三行。</t>
    </r>
    <r>
      <rPr>
        <sz val="12"/>
        <rFont val="宋体"/>
        <charset val="134"/>
      </rPr>
      <t>（一）第一行按进出口货物的法定第一计量单位填报数量及单位，法定计量单位以《中华人民共和国海关统计商品目录》中的计量单位为准。（二）凡列明有法定第二计量单位的，在第二行按照法定第二计量单位填报数量及单位。无法定第二计量单位的，第二行为空。</t>
    </r>
  </si>
  <si>
    <t>单价</t>
  </si>
  <si>
    <r>
      <rPr>
        <sz val="12"/>
        <rFont val="宋体"/>
        <charset val="134"/>
      </rPr>
      <t>填报同一项号下进出口货物实际成交的商品单位价格。</t>
    </r>
    <r>
      <rPr>
        <sz val="12"/>
        <color indexed="10"/>
        <rFont val="宋体"/>
        <charset val="134"/>
      </rPr>
      <t>无实际成交价格的，填报单位货值。</t>
    </r>
  </si>
  <si>
    <t>总价</t>
  </si>
  <si>
    <r>
      <rPr>
        <sz val="12"/>
        <rFont val="宋体"/>
        <charset val="134"/>
      </rPr>
      <t>填报同一项号下进出口货物实际成交的商品总价格。</t>
    </r>
    <r>
      <rPr>
        <sz val="12"/>
        <color indexed="10"/>
        <rFont val="宋体"/>
        <charset val="134"/>
      </rPr>
      <t>无实际成交价格的，填报货值。</t>
    </r>
  </si>
  <si>
    <t>币制</t>
  </si>
  <si>
    <t>按海关规定的《货币代码表》选择相应的货币名称及代码填报，如《货币代码表》中无实际成交币种，需将实际成交货币按申报日外汇折算率折算成《货币代码表》列明的货币填报。</t>
  </si>
  <si>
    <t>原产国（地区）依据《中华人民共和国进出口货物原产地条例》、《中华人民共和国海关关于执行〈非优惠原产地规则中实质性改变标准〉的规定》以及海关总署关于各项优惠贸易协定原产地管理规章规定的原产地确定标准填报。同一批进出口货物的原产地不同的，分别填报原产国（地区）。进出口货物原产国（地区）无法确定的，填报“国别不详”。</t>
  </si>
  <si>
    <r>
      <rPr>
        <sz val="12"/>
        <rFont val="宋体"/>
        <charset val="134"/>
      </rPr>
      <t>最终目的国（地区）填报</t>
    </r>
    <r>
      <rPr>
        <sz val="12"/>
        <color indexed="10"/>
        <rFont val="宋体"/>
        <charset val="134"/>
      </rPr>
      <t>已知的进出口货物的最终实际消费、使用或进一步加工制造国家（地区）。</t>
    </r>
    <r>
      <rPr>
        <sz val="12"/>
        <rFont val="宋体"/>
        <charset val="134"/>
      </rPr>
      <t>不经过第三国（地区）转运的直接运输货物，以运抵国（地区）为最终目的国（地区）；经过第三国（地区）转运的货物，以最后运往国（地区）为最终目的国（地区）。同一批进出口货物的最终目的国（地区）不同的，分别填报最终目的国（地区）。进出口货物不能确定最终目的国（地区）时，</t>
    </r>
    <r>
      <rPr>
        <sz val="12"/>
        <color indexed="10"/>
        <rFont val="宋体"/>
        <charset val="134"/>
      </rPr>
      <t>以尽可能预知的最后运往国（地区）</t>
    </r>
    <r>
      <rPr>
        <sz val="12"/>
        <rFont val="宋体"/>
        <charset val="134"/>
      </rPr>
      <t>为最终目的国（地区）。</t>
    </r>
  </si>
  <si>
    <t>境内目的地-进口</t>
  </si>
  <si>
    <t>境内目的地填报已知的进口货物在国内的消费、使用地或最终运抵地，其中最终运抵地为最终使用单位所在的地区。最终使用单位难以确定的，填报货物进口时预知的最终收货单位所在地。</t>
  </si>
  <si>
    <t>境内货源地-出口</t>
  </si>
  <si>
    <r>
      <rPr>
        <sz val="12"/>
        <rFont val="宋体"/>
        <charset val="134"/>
      </rPr>
      <t>境内货源地填报出口货物在</t>
    </r>
    <r>
      <rPr>
        <sz val="12"/>
        <color indexed="10"/>
        <rFont val="宋体"/>
        <charset val="134"/>
      </rPr>
      <t>国内的产地或原始发货地</t>
    </r>
    <r>
      <rPr>
        <sz val="12"/>
        <rFont val="宋体"/>
        <charset val="134"/>
      </rPr>
      <t>。出口货物产地难以确定的，填报最早发运该出口货物的单位所在地。</t>
    </r>
  </si>
  <si>
    <t>按照海关核发的《征免税证明》或有关政策规定，对报关单所列每项商品选择海关规定的《征减免税方式代码表》中相应的征减免税方式填报。加工贸易货物报关单根据《加工贸易手册》中备案的征免规定填报；《加工贸易手册》中备案的征免规定为“保金”或“保函”的，填报“全免”。</t>
  </si>
  <si>
    <t>特殊关系确认</t>
  </si>
  <si>
    <r>
      <rPr>
        <sz val="12"/>
        <color indexed="10"/>
        <rFont val="宋体"/>
        <charset val="134"/>
      </rPr>
      <t>出口货物免予填报</t>
    </r>
    <r>
      <rPr>
        <sz val="12"/>
        <rFont val="宋体"/>
        <charset val="134"/>
      </rPr>
      <t>，加工贸易及保税监管货物（内销保税货物除外）免予填报。根据《中华人民共和国海关审定进出口货物完税价格办法》（以下简称《审价办法》）第十六条，填报确认进出口行为中买卖双方是否存在特殊关系，有下列情形之一的，应当认为买卖双方存在特殊关系，应填报“是”，反之则填报“否”：（一）买卖双方为同一家族成员的。（二）买卖双方互为商业上的高级职员或者董事的。（三）一方直接或者间接地受另一方控制的。（四）买卖双方都直接或者间接地受第三方控制的。（五）买卖双方共同直接或者间接地控制第三方的。（六）一方直接或者间接地拥有、控制或者持有对方5%以上（含5%）公开发行的有表决权的股票或者股份的。（七）一方是另一方的雇员、高级职员或者董事的。（八）买卖双方是同一合伙的成员的。买卖双方在经营上相互有联系，一方是另一方的独家代理、独家经销或者独家受让人，如果符合前款的规定，也应当视为存在特殊关系。</t>
    </r>
  </si>
  <si>
    <t>价格影响确认</t>
  </si>
  <si>
    <r>
      <rPr>
        <sz val="12"/>
        <color indexed="10"/>
        <rFont val="宋体"/>
        <charset val="134"/>
      </rPr>
      <t>出口货物免予填报</t>
    </r>
    <r>
      <rPr>
        <sz val="12"/>
        <rFont val="宋体"/>
        <charset val="134"/>
      </rPr>
      <t>，加工贸易及保税监管货物（内销保税货物除外）免予填报。根据《审价办法》第十七条，填报确认纳税义务人是否可以证明特殊关系未对进口货物的成交价格产生影响，纳税义务人能证明其成交价格与同时或者大约同时发生的下列任何一款价格相近的，应视为特殊关系未对成交价格产生影响，填报“否”，反之则填报“是”：（一）向境内无特殊关系的买方出售的相同或者类似进口货物的成交价格。（二）按照《审价办法》第二十三条的规定所确定的相同或者类似进口货物的完税价格。（三）按照《审价办法》第二十五条的规定所确定的相同或者类似进口货物的完税价格。</t>
    </r>
  </si>
  <si>
    <t>支付特许权使用费确认</t>
  </si>
  <si>
    <r>
      <rPr>
        <sz val="12"/>
        <color indexed="10"/>
        <rFont val="宋体"/>
        <charset val="134"/>
      </rPr>
      <t>出口货物免予填报</t>
    </r>
    <r>
      <rPr>
        <sz val="12"/>
        <rFont val="宋体"/>
        <charset val="134"/>
      </rPr>
      <t>，加工贸易及保税监管货物（内销保税货物除外）免予填报。根据《审价办法》第十一条和第十三条，填报确认买方是否存在向卖方或者有关方直接或者间接支付与进口货物有关的特许权使用费，且未包括在进口货物的实付、应付价格中。买方存在需向卖方或者有关方直接或者间接支付特许权使用费，且未包含在进口货物实付、应付价格中，并且符合《审价办法》第十三条的，在“支付特许权使用费确认”栏目填报“是”。买方存在需向卖方或者有关方直接或者间接支付特许权使用费，且未包含在进口货物实付、应付价格中，但纳税义务人无法确认是否符合《审价办法》第十三条的，填报“是”。买方存在需向卖方或者有关方直接或者间接支付特许权使用费且未包含在实付、应付价格中，纳税义务人根据《审价办法》第十三条，可以确认需支付的特许权使用费与进口货物无关的，填报“否”。买方不存在向卖方或者有关方直接或者间接支付特许权使用费的，或者特许权使用费已经包含在进口货物实付、应付价格中的，填报“否”。</t>
    </r>
  </si>
  <si>
    <t>自报自缴</t>
  </si>
  <si>
    <t>进出口企业、单位采用“自主申报、自行缴税”（自报自缴）模式向海关申报时，填报“是”；反之则填报“否”。</t>
  </si>
  <si>
    <t>發票
INVOICE</t>
  </si>
  <si>
    <t>編   號
NO:</t>
  </si>
  <si>
    <t>商  號
Sold to Massrs:</t>
  </si>
  <si>
    <t>日  期
DATE:</t>
  </si>
  <si>
    <t>成交方式：</t>
  </si>
  <si>
    <t>標記號碼
Mark &amp; No</t>
  </si>
  <si>
    <t>貨物名稱
Description</t>
  </si>
  <si>
    <t>型号
Model</t>
  </si>
  <si>
    <t>數量
Quantity</t>
  </si>
  <si>
    <t>單價
Unit price</t>
  </si>
  <si>
    <t>總金額
Amount</t>
  </si>
  <si>
    <t>人民币贰万零贰拾伍圆整</t>
  </si>
  <si>
    <t>TOTAL:</t>
  </si>
  <si>
    <t>唛头
Marks</t>
  </si>
  <si>
    <t>.</t>
  </si>
  <si>
    <t xml:space="preserve">  装  箱  单
  PACKING LIST</t>
  </si>
  <si>
    <r>
      <rPr>
        <sz val="12"/>
        <rFont val="宋体"/>
        <charset val="134"/>
      </rPr>
      <t>日期</t>
    </r>
    <r>
      <rPr>
        <sz val="12"/>
        <rFont val="Times New Roman"/>
        <charset val="0"/>
      </rPr>
      <t xml:space="preserve">
Date</t>
    </r>
    <r>
      <rPr>
        <sz val="12"/>
        <rFont val="宋体"/>
        <charset val="134"/>
      </rPr>
      <t>：</t>
    </r>
  </si>
  <si>
    <r>
      <rPr>
        <sz val="12"/>
        <rFont val="宋体"/>
        <charset val="134"/>
      </rPr>
      <t>发票编号</t>
    </r>
    <r>
      <rPr>
        <sz val="12"/>
        <rFont val="Times New Roman"/>
        <charset val="0"/>
      </rPr>
      <t xml:space="preserve">
Invoice No:</t>
    </r>
  </si>
  <si>
    <r>
      <rPr>
        <sz val="12"/>
        <rFont val="宋体"/>
        <charset val="134"/>
      </rPr>
      <t>客户</t>
    </r>
    <r>
      <rPr>
        <sz val="11"/>
        <rFont val="宋体"/>
        <charset val="134"/>
      </rPr>
      <t xml:space="preserve">
To Messrs:</t>
    </r>
  </si>
  <si>
    <r>
      <rPr>
        <sz val="12"/>
        <rFont val="宋体"/>
        <charset val="134"/>
      </rPr>
      <t>合同号</t>
    </r>
    <r>
      <rPr>
        <sz val="12"/>
        <rFont val="Times New Roman"/>
        <charset val="0"/>
      </rPr>
      <t xml:space="preserve">
Contract No:</t>
    </r>
  </si>
  <si>
    <t xml:space="preserve">
</t>
  </si>
  <si>
    <r>
      <rPr>
        <sz val="12"/>
        <rFont val="宋体"/>
        <charset val="134"/>
      </rPr>
      <t>船名</t>
    </r>
    <r>
      <rPr>
        <sz val="12"/>
        <rFont val="Times New Roman"/>
        <charset val="0"/>
      </rPr>
      <t xml:space="preserve">
Shipped by</t>
    </r>
    <r>
      <rPr>
        <sz val="12"/>
        <rFont val="宋体"/>
        <charset val="134"/>
      </rPr>
      <t>：</t>
    </r>
  </si>
  <si>
    <t>由  深圳  至</t>
  </si>
  <si>
    <r>
      <rPr>
        <sz val="12"/>
        <rFont val="宋体"/>
        <charset val="134"/>
      </rPr>
      <t>付款条件</t>
    </r>
    <r>
      <rPr>
        <sz val="9"/>
        <rFont val="宋体"/>
        <charset val="134"/>
      </rPr>
      <t xml:space="preserve">
Terms of Payment:</t>
    </r>
  </si>
  <si>
    <t>箱号
Ctn.No.</t>
  </si>
  <si>
    <t>货物名称及规格
Description</t>
  </si>
  <si>
    <t>箱数：
Pkg：</t>
  </si>
  <si>
    <t>数量：
Ge.Quantity</t>
  </si>
  <si>
    <t>毛重(KG)：
G.W.(KG):</t>
  </si>
  <si>
    <t>净重(KG)：
N.W.(KG):</t>
  </si>
  <si>
    <t>合计
Total</t>
  </si>
  <si>
    <r>
      <rPr>
        <b/>
        <sz val="24"/>
        <rFont val="宋体"/>
        <charset val="134"/>
      </rPr>
      <t>合</t>
    </r>
    <r>
      <rPr>
        <b/>
        <sz val="24"/>
        <rFont val="Times New Roman"/>
        <charset val="0"/>
      </rPr>
      <t xml:space="preserve">       </t>
    </r>
    <r>
      <rPr>
        <b/>
        <sz val="24"/>
        <rFont val="宋体"/>
        <charset val="134"/>
      </rPr>
      <t>同</t>
    </r>
    <r>
      <rPr>
        <b/>
        <sz val="22"/>
        <rFont val="宋体"/>
        <charset val="134"/>
      </rPr>
      <t xml:space="preserve">
</t>
    </r>
    <r>
      <rPr>
        <b/>
        <u/>
        <sz val="22"/>
        <rFont val="宋体"/>
        <charset val="134"/>
      </rPr>
      <t xml:space="preserve">SALES </t>
    </r>
    <r>
      <rPr>
        <u/>
        <sz val="20"/>
        <rFont val="Times New Roman"/>
        <charset val="0"/>
      </rPr>
      <t>CONTRACT</t>
    </r>
  </si>
  <si>
    <r>
      <rPr>
        <sz val="11"/>
        <rFont val="Times New Roman"/>
        <charset val="0"/>
      </rPr>
      <t xml:space="preserve">       </t>
    </r>
    <r>
      <rPr>
        <sz val="11"/>
        <rFont val="宋体"/>
        <charset val="134"/>
      </rPr>
      <t>卖</t>
    </r>
    <r>
      <rPr>
        <sz val="11"/>
        <rFont val="Times New Roman"/>
        <charset val="0"/>
      </rPr>
      <t xml:space="preserve">    </t>
    </r>
    <r>
      <rPr>
        <sz val="11"/>
        <rFont val="宋体"/>
        <charset val="134"/>
      </rPr>
      <t>方：</t>
    </r>
  </si>
  <si>
    <t xml:space="preserve">    Sellers:</t>
  </si>
  <si>
    <r>
      <rPr>
        <sz val="11"/>
        <rFont val="Times New Roman"/>
        <charset val="0"/>
      </rPr>
      <t xml:space="preserve">    </t>
    </r>
    <r>
      <rPr>
        <sz val="11"/>
        <rFont val="宋体"/>
        <charset val="134"/>
      </rPr>
      <t>地</t>
    </r>
    <r>
      <rPr>
        <sz val="11"/>
        <rFont val="Times New Roman"/>
        <charset val="0"/>
      </rPr>
      <t xml:space="preserve">    </t>
    </r>
    <r>
      <rPr>
        <sz val="11"/>
        <rFont val="宋体"/>
        <charset val="134"/>
      </rPr>
      <t>址：</t>
    </r>
  </si>
  <si>
    <t xml:space="preserve"> Address:  </t>
  </si>
  <si>
    <r>
      <rPr>
        <sz val="11"/>
        <rFont val="Times New Roman"/>
        <charset val="0"/>
      </rPr>
      <t xml:space="preserve">    </t>
    </r>
    <r>
      <rPr>
        <sz val="11"/>
        <rFont val="宋体"/>
        <charset val="134"/>
      </rPr>
      <t>合同号码</t>
    </r>
  </si>
  <si>
    <r>
      <rPr>
        <sz val="11"/>
        <rFont val="Times New Roman"/>
        <charset val="0"/>
      </rPr>
      <t xml:space="preserve">    </t>
    </r>
    <r>
      <rPr>
        <sz val="11"/>
        <rFont val="宋体"/>
        <charset val="134"/>
      </rPr>
      <t>电</t>
    </r>
    <r>
      <rPr>
        <sz val="11"/>
        <rFont val="Times New Roman"/>
        <charset val="0"/>
      </rPr>
      <t xml:space="preserve">    </t>
    </r>
    <r>
      <rPr>
        <sz val="11"/>
        <rFont val="宋体"/>
        <charset val="134"/>
      </rPr>
      <t>话：</t>
    </r>
    <r>
      <rPr>
        <sz val="11"/>
        <rFont val="Times New Roman"/>
        <charset val="0"/>
      </rPr>
      <t xml:space="preserve">     </t>
    </r>
  </si>
  <si>
    <t>传  真</t>
  </si>
  <si>
    <t xml:space="preserve">  Contract No:</t>
  </si>
  <si>
    <t xml:space="preserve">    TEL:</t>
  </si>
  <si>
    <t>FAX:</t>
  </si>
  <si>
    <r>
      <rPr>
        <sz val="11"/>
        <rFont val="Times New Roman"/>
        <charset val="0"/>
      </rPr>
      <t xml:space="preserve">    </t>
    </r>
    <r>
      <rPr>
        <sz val="11"/>
        <rFont val="宋体"/>
        <charset val="134"/>
      </rPr>
      <t>日</t>
    </r>
    <r>
      <rPr>
        <sz val="11"/>
        <rFont val="Times New Roman"/>
        <charset val="0"/>
      </rPr>
      <t xml:space="preserve">     </t>
    </r>
    <r>
      <rPr>
        <sz val="11"/>
        <rFont val="宋体"/>
        <charset val="134"/>
      </rPr>
      <t>期</t>
    </r>
  </si>
  <si>
    <r>
      <rPr>
        <sz val="11"/>
        <rFont val="宋体"/>
        <charset val="134"/>
      </rPr>
      <t xml:space="preserve">  买</t>
    </r>
    <r>
      <rPr>
        <sz val="11"/>
        <rFont val="Times New Roman"/>
        <charset val="0"/>
      </rPr>
      <t xml:space="preserve">  </t>
    </r>
    <r>
      <rPr>
        <sz val="11"/>
        <rFont val="宋体"/>
        <charset val="134"/>
      </rPr>
      <t>方：</t>
    </r>
  </si>
  <si>
    <t xml:space="preserve">    Date:</t>
  </si>
  <si>
    <t>2026.01.10</t>
  </si>
  <si>
    <r>
      <rPr>
        <sz val="11"/>
        <rFont val="Times New Roman"/>
        <charset val="0"/>
      </rPr>
      <t xml:space="preserve">  Buyers</t>
    </r>
    <r>
      <rPr>
        <sz val="11"/>
        <rFont val="宋体"/>
        <charset val="134"/>
      </rPr>
      <t>：</t>
    </r>
  </si>
  <si>
    <t>签约地点</t>
  </si>
  <si>
    <r>
      <rPr>
        <sz val="11"/>
        <rFont val="Times New Roman"/>
        <charset val="0"/>
      </rPr>
      <t xml:space="preserve">  </t>
    </r>
    <r>
      <rPr>
        <sz val="11"/>
        <rFont val="宋体"/>
        <charset val="134"/>
      </rPr>
      <t>地</t>
    </r>
    <r>
      <rPr>
        <sz val="11"/>
        <rFont val="Times New Roman"/>
        <charset val="0"/>
      </rPr>
      <t xml:space="preserve">   </t>
    </r>
    <r>
      <rPr>
        <sz val="11"/>
        <rFont val="宋体"/>
        <charset val="134"/>
      </rPr>
      <t>址：</t>
    </r>
  </si>
  <si>
    <t xml:space="preserve">  Signed at:</t>
  </si>
  <si>
    <t>Address:</t>
  </si>
  <si>
    <t>成交方式：
Trade Term:</t>
  </si>
  <si>
    <r>
      <rPr>
        <sz val="11"/>
        <rFont val="Times New Roman"/>
        <charset val="0"/>
      </rPr>
      <t xml:space="preserve"> </t>
    </r>
    <r>
      <rPr>
        <sz val="11"/>
        <rFont val="宋体"/>
        <charset val="134"/>
      </rPr>
      <t>电</t>
    </r>
    <r>
      <rPr>
        <sz val="11"/>
        <rFont val="Times New Roman"/>
        <charset val="0"/>
      </rPr>
      <t xml:space="preserve">   </t>
    </r>
    <r>
      <rPr>
        <sz val="11"/>
        <rFont val="宋体"/>
        <charset val="134"/>
      </rPr>
      <t>话</t>
    </r>
    <r>
      <rPr>
        <sz val="11"/>
        <rFont val="Times New Roman"/>
        <charset val="0"/>
      </rPr>
      <t xml:space="preserve"> </t>
    </r>
  </si>
  <si>
    <r>
      <rPr>
        <sz val="10"/>
        <rFont val="Times New Roman"/>
        <charset val="0"/>
      </rPr>
      <t xml:space="preserve">  </t>
    </r>
    <r>
      <rPr>
        <sz val="10"/>
        <rFont val="宋体"/>
        <charset val="134"/>
      </rPr>
      <t>传</t>
    </r>
    <r>
      <rPr>
        <sz val="10"/>
        <rFont val="Times New Roman"/>
        <charset val="0"/>
      </rPr>
      <t xml:space="preserve">  </t>
    </r>
    <r>
      <rPr>
        <sz val="10"/>
        <rFont val="宋体"/>
        <charset val="134"/>
      </rPr>
      <t>真</t>
    </r>
    <r>
      <rPr>
        <sz val="10"/>
        <rFont val="Times New Roman"/>
        <charset val="0"/>
      </rPr>
      <t xml:space="preserve">  </t>
    </r>
  </si>
  <si>
    <t xml:space="preserve"> TEL:</t>
  </si>
  <si>
    <t>经买卖双方确认根据下列条款订立本合同</t>
  </si>
  <si>
    <t>This contract is made out by the Sellers and Buyers as per the following terms and conditions mutuilly confirmed:</t>
  </si>
  <si>
    <r>
      <rPr>
        <sz val="11"/>
        <rFont val="Times New Roman"/>
        <charset val="0"/>
      </rPr>
      <t>(1)</t>
    </r>
    <r>
      <rPr>
        <sz val="11"/>
        <rFont val="宋体"/>
        <charset val="134"/>
      </rPr>
      <t>货物名称</t>
    </r>
  </si>
  <si>
    <r>
      <rPr>
        <sz val="11"/>
        <rFont val="Times New Roman"/>
        <charset val="0"/>
      </rPr>
      <t xml:space="preserve">(2) </t>
    </r>
    <r>
      <rPr>
        <sz val="11"/>
        <rFont val="宋体"/>
        <charset val="134"/>
      </rPr>
      <t>型号</t>
    </r>
    <r>
      <rPr>
        <sz val="11"/>
        <rFont val="Times New Roman"/>
        <charset val="0"/>
      </rPr>
      <t xml:space="preserve">
model</t>
    </r>
  </si>
  <si>
    <r>
      <rPr>
        <sz val="11"/>
        <rFont val="Times New Roman"/>
        <charset val="0"/>
      </rPr>
      <t xml:space="preserve">(3) </t>
    </r>
    <r>
      <rPr>
        <sz val="11"/>
        <rFont val="宋体"/>
        <charset val="134"/>
      </rPr>
      <t>数</t>
    </r>
    <r>
      <rPr>
        <sz val="11"/>
        <rFont val="Times New Roman"/>
        <charset val="0"/>
      </rPr>
      <t xml:space="preserve"> </t>
    </r>
    <r>
      <rPr>
        <sz val="11"/>
        <rFont val="宋体"/>
        <charset val="134"/>
      </rPr>
      <t>量</t>
    </r>
  </si>
  <si>
    <r>
      <rPr>
        <sz val="11"/>
        <rFont val="Times New Roman"/>
        <charset val="0"/>
      </rPr>
      <t>(4)</t>
    </r>
    <r>
      <rPr>
        <sz val="11"/>
        <rFont val="宋体"/>
        <charset val="134"/>
      </rPr>
      <t>单</t>
    </r>
    <r>
      <rPr>
        <sz val="11"/>
        <rFont val="Times New Roman"/>
        <charset val="0"/>
      </rPr>
      <t xml:space="preserve"> </t>
    </r>
    <r>
      <rPr>
        <sz val="11"/>
        <rFont val="宋体"/>
        <charset val="134"/>
      </rPr>
      <t>位</t>
    </r>
  </si>
  <si>
    <r>
      <rPr>
        <sz val="11"/>
        <rFont val="Times New Roman"/>
        <charset val="0"/>
      </rPr>
      <t>(5)</t>
    </r>
    <r>
      <rPr>
        <sz val="11"/>
        <rFont val="宋体"/>
        <charset val="134"/>
      </rPr>
      <t>单价</t>
    </r>
  </si>
  <si>
    <t>(6)   金  额</t>
  </si>
  <si>
    <t>Name of commodity</t>
  </si>
  <si>
    <t>Model</t>
  </si>
  <si>
    <t>Quantity</t>
  </si>
  <si>
    <t>Unit</t>
  </si>
  <si>
    <t>Unit Price</t>
  </si>
  <si>
    <t>Amount</t>
  </si>
  <si>
    <r>
      <rPr>
        <sz val="10"/>
        <rFont val="宋体"/>
        <charset val="134"/>
      </rPr>
      <t>数量及总值允许有</t>
    </r>
    <r>
      <rPr>
        <sz val="10"/>
        <rFont val="Times New Roman"/>
        <charset val="0"/>
      </rPr>
      <t xml:space="preserve"> 2 %</t>
    </r>
    <r>
      <rPr>
        <sz val="10"/>
        <rFont val="宋体"/>
        <charset val="134"/>
      </rPr>
      <t>的增减。</t>
    </r>
  </si>
  <si>
    <r>
      <rPr>
        <b/>
        <sz val="12"/>
        <rFont val="Times New Roman"/>
        <charset val="0"/>
      </rPr>
      <t xml:space="preserve">   </t>
    </r>
    <r>
      <rPr>
        <b/>
        <sz val="12"/>
        <rFont val="宋体"/>
        <charset val="134"/>
      </rPr>
      <t>总</t>
    </r>
    <r>
      <rPr>
        <b/>
        <sz val="12"/>
        <rFont val="Times New Roman"/>
        <charset val="0"/>
      </rPr>
      <t xml:space="preserve">      </t>
    </r>
    <r>
      <rPr>
        <b/>
        <sz val="12"/>
        <rFont val="宋体"/>
        <charset val="134"/>
      </rPr>
      <t>值</t>
    </r>
  </si>
  <si>
    <t xml:space="preserve">2  % more or less both in amount and quantity allowed.                    </t>
  </si>
  <si>
    <t>Total Amount:</t>
  </si>
  <si>
    <t>(6)合同总值（大写）</t>
  </si>
  <si>
    <r>
      <rPr>
        <sz val="12"/>
        <rFont val="Times New Roman"/>
        <charset val="0"/>
      </rPr>
      <t>(7)</t>
    </r>
    <r>
      <rPr>
        <sz val="12"/>
        <rFont val="宋体"/>
        <charset val="134"/>
      </rPr>
      <t>包装及唛头</t>
    </r>
  </si>
  <si>
    <r>
      <rPr>
        <sz val="10"/>
        <rFont val="Times New Roman"/>
        <charset val="0"/>
      </rPr>
      <t xml:space="preserve">Packing and shipping Marks:  </t>
    </r>
    <r>
      <rPr>
        <sz val="12"/>
        <rFont val="Times New Roman"/>
        <charset val="0"/>
      </rPr>
      <t xml:space="preserve"> </t>
    </r>
  </si>
  <si>
    <r>
      <rPr>
        <sz val="12"/>
        <rFont val="Times New Roman"/>
        <charset val="0"/>
      </rPr>
      <t>(8)</t>
    </r>
    <r>
      <rPr>
        <sz val="12"/>
        <rFont val="宋体"/>
        <charset val="134"/>
      </rPr>
      <t>装运期</t>
    </r>
  </si>
  <si>
    <t xml:space="preserve">Time of Shipment:    </t>
  </si>
  <si>
    <t>之前</t>
  </si>
  <si>
    <r>
      <rPr>
        <sz val="12"/>
        <rFont val="Times New Roman"/>
        <charset val="0"/>
      </rPr>
      <t>(9)</t>
    </r>
    <r>
      <rPr>
        <sz val="12"/>
        <rFont val="宋体"/>
        <charset val="134"/>
      </rPr>
      <t>装运口岸和目的地</t>
    </r>
    <r>
      <rPr>
        <sz val="12"/>
        <rFont val="Times New Roman"/>
        <charset val="0"/>
      </rPr>
      <t xml:space="preserve">          </t>
    </r>
    <r>
      <rPr>
        <sz val="12"/>
        <rFont val="宋体"/>
        <charset val="134"/>
      </rPr>
      <t>深圳</t>
    </r>
    <r>
      <rPr>
        <sz val="12"/>
        <rFont val="Times New Roman"/>
        <charset val="0"/>
      </rPr>
      <t>---</t>
    </r>
  </si>
  <si>
    <t>准许分批与转船。</t>
  </si>
  <si>
    <t>(10)保险：由买方按发票全部金额110%投保至   为止的    险。按中国海洋运输保险条款为理。</t>
  </si>
  <si>
    <t>Insurance:To be covered by the Buyer  for 110% of full invoice value covering   up  to only,subject to C.I.C.</t>
  </si>
  <si>
    <t xml:space="preserve">(11)付款条件     </t>
  </si>
  <si>
    <t>Terms of Payment</t>
  </si>
  <si>
    <r>
      <rPr>
        <sz val="12"/>
        <rFont val="Times New Roman"/>
        <charset val="0"/>
      </rPr>
      <t>(12)</t>
    </r>
    <r>
      <rPr>
        <sz val="12"/>
        <rFont val="宋体"/>
        <charset val="134"/>
      </rPr>
      <t>装运标记</t>
    </r>
  </si>
  <si>
    <t>Shipping Marks:</t>
  </si>
  <si>
    <r>
      <rPr>
        <sz val="12"/>
        <rFont val="Times New Roman"/>
        <charset val="0"/>
      </rPr>
      <t xml:space="preserve">    </t>
    </r>
    <r>
      <rPr>
        <sz val="12"/>
        <rFont val="宋体"/>
        <charset val="134"/>
      </rPr>
      <t>买</t>
    </r>
    <r>
      <rPr>
        <sz val="12"/>
        <rFont val="Times New Roman"/>
        <charset val="0"/>
      </rPr>
      <t xml:space="preserve">  </t>
    </r>
    <r>
      <rPr>
        <sz val="12"/>
        <rFont val="宋体"/>
        <charset val="134"/>
      </rPr>
      <t>方</t>
    </r>
  </si>
  <si>
    <r>
      <rPr>
        <sz val="12"/>
        <rFont val="Times New Roman"/>
        <charset val="0"/>
      </rPr>
      <t xml:space="preserve">    </t>
    </r>
    <r>
      <rPr>
        <sz val="12"/>
        <rFont val="宋体"/>
        <charset val="134"/>
      </rPr>
      <t>卖</t>
    </r>
    <r>
      <rPr>
        <sz val="12"/>
        <rFont val="Times New Roman"/>
        <charset val="0"/>
      </rPr>
      <t xml:space="preserve">  </t>
    </r>
    <r>
      <rPr>
        <sz val="12"/>
        <rFont val="宋体"/>
        <charset val="134"/>
      </rPr>
      <t>方</t>
    </r>
  </si>
  <si>
    <t>THE BUYERS</t>
  </si>
  <si>
    <r>
      <rPr>
        <sz val="12"/>
        <rFont val="Times New Roman"/>
        <charset val="0"/>
      </rPr>
      <t xml:space="preserve">  </t>
    </r>
    <r>
      <rPr>
        <u/>
        <sz val="12"/>
        <rFont val="Times New Roman"/>
        <charset val="0"/>
      </rPr>
      <t>THE SELLERS</t>
    </r>
  </si>
  <si>
    <t>(Authorized Signature)</t>
  </si>
  <si>
    <t>代 理 报 关 委 托 书</t>
  </si>
  <si>
    <t>编号：□□□□□□□□□□□</t>
  </si>
  <si>
    <r>
      <rPr>
        <sz val="10"/>
        <rFont val="宋体"/>
        <charset val="134"/>
      </rPr>
      <t xml:space="preserve">     我单位现  </t>
    </r>
    <r>
      <rPr>
        <b/>
        <sz val="10"/>
        <rFont val="宋体"/>
        <charset val="134"/>
      </rPr>
      <t>A</t>
    </r>
    <r>
      <rPr>
        <sz val="10"/>
        <rFont val="宋体"/>
        <charset val="134"/>
      </rPr>
      <t xml:space="preserve">   (A逐票、B长期)委托贵公司代理   </t>
    </r>
    <r>
      <rPr>
        <b/>
        <sz val="10"/>
        <rFont val="宋体"/>
        <charset val="134"/>
      </rPr>
      <t>AB</t>
    </r>
    <r>
      <rPr>
        <sz val="10"/>
        <rFont val="宋体"/>
        <charset val="134"/>
      </rPr>
      <t xml:space="preserve">  等通关事宜。（A、填单申报 B、辅助查验 C、</t>
    </r>
  </si>
  <si>
    <t>垫缴税款 D、办理海关证明联 E、审批手册 F、核销手册 G、申办减免税手续 H、其他 ）详见《委托报关协</t>
  </si>
  <si>
    <t>议》。</t>
  </si>
  <si>
    <t xml:space="preserve">    我单位保证遵守《海关法》和国家有关法规，保证所提供的情况真实、完整、单货相符，无侵犯他</t>
  </si>
  <si>
    <t>人知识产权的行为。否则，愿承担相关法律责任。</t>
  </si>
  <si>
    <t xml:space="preserve">    本委托书有效期自签字之日起至     </t>
  </si>
  <si>
    <t xml:space="preserve">    20 年  月  日止。</t>
  </si>
  <si>
    <t>委托方（盖章）：</t>
  </si>
  <si>
    <t>法定代表人或其授权签署《代理报关委托书》的人（签字）</t>
  </si>
  <si>
    <t xml:space="preserve">   委 托 报 关 协 议</t>
  </si>
  <si>
    <t>为明确委托报关具体事项和各自责任，双方经平等协商签定协议如下：</t>
  </si>
  <si>
    <t>委托方</t>
  </si>
  <si>
    <t>被委托方</t>
  </si>
  <si>
    <t>主要货物名称</t>
  </si>
  <si>
    <t>*报关单编码</t>
  </si>
  <si>
    <t>HS编码</t>
  </si>
  <si>
    <t>收到单证日期</t>
  </si>
  <si>
    <t>货物总价</t>
  </si>
  <si>
    <t>收到单证情况</t>
  </si>
  <si>
    <t>合同□√</t>
  </si>
  <si>
    <t>发票□√</t>
  </si>
  <si>
    <t>进出口日期</t>
  </si>
  <si>
    <t>装箱清单□√</t>
  </si>
  <si>
    <t>提（运）单□</t>
  </si>
  <si>
    <t>提单号</t>
  </si>
  <si>
    <t>加工贸易手册□</t>
  </si>
  <si>
    <t>许可证件□</t>
  </si>
  <si>
    <t>贸易方式</t>
  </si>
  <si>
    <t xml:space="preserve">  其他</t>
  </si>
  <si>
    <t>原产地/货源地</t>
  </si>
  <si>
    <t>报关收费</t>
  </si>
  <si>
    <t xml:space="preserve">  人民币：       元</t>
  </si>
  <si>
    <t>其他要求：</t>
  </si>
  <si>
    <t>承诺说明：</t>
  </si>
  <si>
    <t>背面所列通用条款是本协议不可分割的一部分，对本协议的签署构成了对背面通用条款的同意。</t>
  </si>
  <si>
    <t>委托方业务签章：</t>
  </si>
  <si>
    <t>被委托方业务签章：</t>
  </si>
  <si>
    <t>经办人签章：</t>
  </si>
  <si>
    <t>经办报关员签章：</t>
  </si>
  <si>
    <t>联系电话：</t>
  </si>
  <si>
    <t xml:space="preserve">  （白联：海关留存、黄联：被委托方留存、红联：委托方留存）</t>
  </si>
  <si>
    <t>中国报关协会监制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</si>
</sst>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0.0000_);[Red]\(0.0000\)"/>
    <numFmt numFmtId="178" formatCode="[$HKD]\ #,##0.00"/>
    <numFmt numFmtId="179" formatCode="#,##0.00_);[Red]\(#,##0.00\)"/>
    <numFmt numFmtId="180" formatCode="[DBNum2][$-804]\ General&quot;元整&quot;"/>
    <numFmt numFmtId="181" formatCode="0.000_);[Red]\(0.000\)"/>
  </numFmts>
  <fonts count="56">
    <font>
      <sz val="12"/>
      <name val="宋体"/>
      <charset val="134"/>
    </font>
    <font>
      <b/>
      <sz val="14"/>
      <name val="宋体"/>
      <charset val="134"/>
    </font>
    <font>
      <b/>
      <sz val="12"/>
      <name val="宋体"/>
      <charset val="134"/>
    </font>
    <font>
      <sz val="10"/>
      <name val="宋体"/>
      <charset val="134"/>
    </font>
    <font>
      <b/>
      <sz val="10"/>
      <name val="宋体"/>
      <charset val="134"/>
    </font>
    <font>
      <sz val="11"/>
      <name val="宋体"/>
      <charset val="134"/>
    </font>
    <font>
      <sz val="8"/>
      <name val="宋体"/>
      <charset val="134"/>
    </font>
    <font>
      <sz val="9"/>
      <name val="宋体"/>
      <charset val="134"/>
    </font>
    <font>
      <sz val="12"/>
      <name val="Times New Roman"/>
      <charset val="0"/>
    </font>
    <font>
      <b/>
      <sz val="24"/>
      <name val="宋体"/>
      <charset val="134"/>
    </font>
    <font>
      <sz val="24"/>
      <name val="宋体"/>
      <charset val="134"/>
    </font>
    <font>
      <sz val="11"/>
      <name val="Times New Roman"/>
      <charset val="0"/>
    </font>
    <font>
      <sz val="10"/>
      <name val="Times New Roman"/>
      <charset val="0"/>
    </font>
    <font>
      <sz val="11"/>
      <color theme="1"/>
      <name val="宋体"/>
      <charset val="134"/>
      <scheme val="minor"/>
    </font>
    <font>
      <b/>
      <sz val="12"/>
      <name val="Times New Roman"/>
      <charset val="0"/>
    </font>
    <font>
      <b/>
      <sz val="10"/>
      <name val="Times New Roman"/>
      <charset val="0"/>
    </font>
    <font>
      <sz val="18"/>
      <color rgb="FFCC0000"/>
      <name val="宋体"/>
      <charset val="134"/>
    </font>
    <font>
      <sz val="9"/>
      <name val="Times New Roman"/>
      <charset val="0"/>
    </font>
    <font>
      <u/>
      <sz val="12"/>
      <name val="Times New Roman"/>
      <charset val="0"/>
    </font>
    <font>
      <b/>
      <sz val="22"/>
      <name val="宋体"/>
      <charset val="134"/>
    </font>
    <font>
      <sz val="22"/>
      <name val="宋体"/>
      <charset val="134"/>
    </font>
    <font>
      <sz val="20"/>
      <name val="Times New Roman"/>
      <charset val="0"/>
    </font>
    <font>
      <sz val="16"/>
      <name val="Times New Roman"/>
      <charset val="0"/>
    </font>
    <font>
      <sz val="12"/>
      <color indexed="10"/>
      <name val="宋体"/>
      <charset val="134"/>
    </font>
    <font>
      <b/>
      <sz val="12"/>
      <color indexed="10"/>
      <name val="宋体"/>
      <charset val="134"/>
    </font>
    <font>
      <u/>
      <sz val="11"/>
      <color rgb="FF800080"/>
      <name val="宋体"/>
      <charset val="134"/>
      <scheme val="minor"/>
    </font>
    <font>
      <u/>
      <sz val="11"/>
      <color rgb="FF0000FF"/>
      <name val="宋体"/>
      <charset val="134"/>
      <scheme val="minor"/>
    </font>
    <font>
      <sz val="20"/>
      <name val="宋体"/>
      <charset val="134"/>
    </font>
    <font>
      <b/>
      <sz val="20"/>
      <name val="宋体"/>
      <charset val="134"/>
    </font>
    <font>
      <sz val="10"/>
      <color indexed="10"/>
      <name val="宋体"/>
      <charset val="134"/>
    </font>
    <font>
      <sz val="10"/>
      <color indexed="8"/>
      <name val="宋体"/>
      <charset val="134"/>
    </font>
    <font>
      <u/>
      <sz val="11"/>
      <color indexed="20"/>
      <name val="宋体"/>
      <charset val="134"/>
    </font>
    <font>
      <b/>
      <sz val="11"/>
      <name val="宋体"/>
      <charset val="134"/>
    </font>
    <font>
      <sz val="11"/>
      <color indexed="62"/>
      <name val="宋体"/>
      <charset val="134"/>
    </font>
    <font>
      <sz val="10"/>
      <color indexed="22"/>
      <name val="宋体"/>
      <charset val="134"/>
    </font>
    <font>
      <sz val="12"/>
      <color indexed="55"/>
      <name val="宋体"/>
      <charset val="134"/>
    </font>
    <font>
      <sz val="11"/>
      <color indexed="8"/>
      <name val="宋体"/>
      <charset val="134"/>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b/>
      <sz val="24"/>
      <name val="Times New Roman"/>
      <charset val="0"/>
    </font>
    <font>
      <b/>
      <u/>
      <sz val="22"/>
      <name val="宋体"/>
      <charset val="134"/>
    </font>
    <font>
      <u/>
      <sz val="20"/>
      <name val="Times New Roman"/>
      <charset val="0"/>
    </font>
  </fonts>
  <fills count="35">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0">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double">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thin">
        <color auto="1"/>
      </right>
      <top style="double">
        <color auto="1"/>
      </top>
      <bottom/>
      <diagonal/>
    </border>
    <border>
      <left/>
      <right/>
      <top style="double">
        <color auto="1"/>
      </top>
      <bottom/>
      <diagonal/>
    </border>
    <border>
      <left/>
      <right/>
      <top style="hair">
        <color auto="1"/>
      </top>
      <bottom/>
      <diagonal/>
    </border>
    <border>
      <left style="thin">
        <color auto="1"/>
      </left>
      <right/>
      <top/>
      <bottom style="hair">
        <color auto="1"/>
      </bottom>
      <diagonal/>
    </border>
    <border>
      <left style="thin">
        <color auto="1"/>
      </left>
      <right style="thin">
        <color auto="1"/>
      </right>
      <top style="thin">
        <color indexed="8"/>
      </top>
      <bottom style="thin">
        <color indexed="8"/>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36" fillId="4" borderId="52"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53" applyNumberFormat="0" applyFill="0" applyAlignment="0" applyProtection="0">
      <alignment vertical="center"/>
    </xf>
    <xf numFmtId="0" fontId="41" fillId="0" borderId="53" applyNumberFormat="0" applyFill="0" applyAlignment="0" applyProtection="0">
      <alignment vertical="center"/>
    </xf>
    <xf numFmtId="0" fontId="42" fillId="0" borderId="54" applyNumberFormat="0" applyFill="0" applyAlignment="0" applyProtection="0">
      <alignment vertical="center"/>
    </xf>
    <xf numFmtId="0" fontId="42" fillId="0" borderId="0" applyNumberFormat="0" applyFill="0" applyBorder="0" applyAlignment="0" applyProtection="0">
      <alignment vertical="center"/>
    </xf>
    <xf numFmtId="0" fontId="43" fillId="5" borderId="55" applyNumberFormat="0" applyAlignment="0" applyProtection="0">
      <alignment vertical="center"/>
    </xf>
    <xf numFmtId="0" fontId="44" fillId="6" borderId="56" applyNumberFormat="0" applyAlignment="0" applyProtection="0">
      <alignment vertical="center"/>
    </xf>
    <xf numFmtId="0" fontId="45" fillId="6" borderId="55" applyNumberFormat="0" applyAlignment="0" applyProtection="0">
      <alignment vertical="center"/>
    </xf>
    <xf numFmtId="0" fontId="46" fillId="7" borderId="57" applyNumberFormat="0" applyAlignment="0" applyProtection="0">
      <alignment vertical="center"/>
    </xf>
    <xf numFmtId="0" fontId="47" fillId="0" borderId="58" applyNumberFormat="0" applyFill="0" applyAlignment="0" applyProtection="0">
      <alignment vertical="center"/>
    </xf>
    <xf numFmtId="0" fontId="48" fillId="0" borderId="59" applyNumberFormat="0" applyFill="0" applyAlignment="0" applyProtection="0">
      <alignment vertical="center"/>
    </xf>
    <xf numFmtId="0" fontId="49" fillId="8" borderId="0" applyNumberFormat="0" applyBorder="0" applyAlignment="0" applyProtection="0">
      <alignment vertical="center"/>
    </xf>
    <xf numFmtId="0" fontId="50" fillId="9" borderId="0" applyNumberFormat="0" applyBorder="0" applyAlignment="0" applyProtection="0">
      <alignment vertical="center"/>
    </xf>
    <xf numFmtId="0" fontId="51" fillId="10" borderId="0" applyNumberFormat="0" applyBorder="0" applyAlignment="0" applyProtection="0">
      <alignment vertical="center"/>
    </xf>
    <xf numFmtId="0" fontId="52" fillId="11"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13" fillId="16" borderId="0" applyNumberFormat="0" applyBorder="0" applyAlignment="0" applyProtection="0">
      <alignment vertical="center"/>
    </xf>
    <xf numFmtId="0" fontId="13" fillId="17"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13" fillId="28" borderId="0" applyNumberFormat="0" applyBorder="0" applyAlignment="0" applyProtection="0">
      <alignment vertical="center"/>
    </xf>
    <xf numFmtId="0" fontId="13"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13" fillId="32" borderId="0" applyNumberFormat="0" applyBorder="0" applyAlignment="0" applyProtection="0">
      <alignment vertical="center"/>
    </xf>
    <xf numFmtId="0" fontId="13" fillId="33" borderId="0" applyNumberFormat="0" applyBorder="0" applyAlignment="0" applyProtection="0">
      <alignment vertical="center"/>
    </xf>
    <xf numFmtId="0" fontId="52" fillId="34" borderId="0" applyNumberFormat="0" applyBorder="0" applyAlignment="0" applyProtection="0">
      <alignment vertical="center"/>
    </xf>
  </cellStyleXfs>
  <cellXfs count="391">
    <xf numFmtId="0" fontId="0" fillId="0" borderId="0" xfId="0">
      <alignment vertical="center"/>
    </xf>
    <xf numFmtId="0" fontId="0" fillId="2" borderId="0" xfId="0" applyFill="1">
      <alignment vertical="center"/>
    </xf>
    <xf numFmtId="0" fontId="1" fillId="2" borderId="0" xfId="0" applyFont="1" applyFill="1">
      <alignment vertical="center"/>
    </xf>
    <xf numFmtId="0" fontId="2" fillId="2" borderId="0" xfId="0" applyFont="1" applyFill="1" applyAlignment="1">
      <alignment horizontal="right" vertical="center"/>
    </xf>
    <xf numFmtId="0" fontId="3" fillId="2" borderId="0" xfId="0" applyFont="1" applyFill="1">
      <alignment vertical="center"/>
    </xf>
    <xf numFmtId="0" fontId="4" fillId="2" borderId="0" xfId="0" applyFont="1" applyFill="1">
      <alignment vertical="center"/>
    </xf>
    <xf numFmtId="0" fontId="5" fillId="2" borderId="0" xfId="0" applyFont="1" applyFill="1">
      <alignment vertical="center"/>
    </xf>
    <xf numFmtId="176" fontId="0" fillId="2" borderId="0" xfId="0" applyNumberForma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shrinkToFi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shrinkToFi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center" vertical="center" shrinkToFit="1"/>
    </xf>
    <xf numFmtId="0" fontId="3" fillId="2" borderId="6" xfId="0" applyFont="1" applyFill="1" applyBorder="1" applyAlignment="1">
      <alignment horizontal="center" vertical="center" shrinkToFit="1"/>
    </xf>
    <xf numFmtId="176" fontId="3" fillId="2" borderId="5" xfId="0" applyNumberFormat="1"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right" vertical="center" shrinkToFit="1"/>
    </xf>
    <xf numFmtId="0" fontId="3" fillId="2" borderId="9" xfId="0" applyFont="1" applyFill="1" applyBorder="1" applyAlignment="1">
      <alignment horizontal="left" vertical="center" shrinkToFit="1"/>
    </xf>
    <xf numFmtId="0" fontId="3" fillId="2" borderId="10" xfId="0" applyFont="1" applyFill="1" applyBorder="1" applyAlignment="1">
      <alignment vertical="center" shrinkToFit="1"/>
    </xf>
    <xf numFmtId="176" fontId="3" fillId="2" borderId="7" xfId="0" applyNumberFormat="1" applyFont="1" applyFill="1" applyBorder="1" applyAlignment="1">
      <alignment horizontal="center" vertical="center" shrinkToFit="1"/>
    </xf>
    <xf numFmtId="176" fontId="3" fillId="2" borderId="5" xfId="0" applyNumberFormat="1" applyFont="1" applyFill="1" applyBorder="1" applyAlignment="1">
      <alignment horizontal="center" vertical="center" shrinkToFit="1"/>
    </xf>
    <xf numFmtId="0" fontId="3" fillId="2" borderId="11" xfId="0" applyFont="1" applyFill="1" applyBorder="1" applyAlignment="1">
      <alignment horizontal="center" vertical="center"/>
    </xf>
    <xf numFmtId="0" fontId="3" fillId="2" borderId="11" xfId="0" applyFont="1" applyFill="1" applyBorder="1" applyAlignment="1">
      <alignment horizontal="center" vertical="center" shrinkToFit="1"/>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7" xfId="0" applyFont="1" applyFill="1" applyBorder="1" applyAlignment="1">
      <alignment horizontal="left" vertical="center"/>
    </xf>
    <xf numFmtId="0" fontId="3" fillId="2" borderId="6" xfId="0" applyFont="1" applyFill="1" applyBorder="1" applyAlignment="1">
      <alignment horizontal="center" vertical="center"/>
    </xf>
    <xf numFmtId="0" fontId="3" fillId="2" borderId="11" xfId="0" applyFont="1" applyFill="1" applyBorder="1" applyAlignment="1">
      <alignment horizontal="left" vertical="center"/>
    </xf>
    <xf numFmtId="0" fontId="3" fillId="2" borderId="15" xfId="0" applyFont="1" applyFill="1" applyBorder="1" applyAlignment="1">
      <alignment vertical="center"/>
    </xf>
    <xf numFmtId="0" fontId="3" fillId="2" borderId="16" xfId="0" applyFont="1" applyFill="1" applyBorder="1" applyAlignment="1">
      <alignment vertical="center"/>
    </xf>
    <xf numFmtId="0" fontId="3" fillId="2" borderId="17" xfId="0" applyFont="1" applyFill="1" applyBorder="1" applyAlignment="1">
      <alignment vertical="center"/>
    </xf>
    <xf numFmtId="0" fontId="3" fillId="2" borderId="18" xfId="0" applyFont="1" applyFill="1" applyBorder="1" applyAlignment="1">
      <alignment vertical="center"/>
    </xf>
    <xf numFmtId="0" fontId="3" fillId="2" borderId="0" xfId="0" applyFont="1" applyFill="1" applyBorder="1" applyAlignment="1">
      <alignment vertical="center"/>
    </xf>
    <xf numFmtId="0" fontId="3" fillId="2" borderId="19" xfId="0" applyFont="1" applyFill="1" applyBorder="1" applyAlignment="1">
      <alignment vertical="center"/>
    </xf>
    <xf numFmtId="0" fontId="6" fillId="2" borderId="15" xfId="0" applyFont="1" applyFill="1" applyBorder="1" applyAlignment="1">
      <alignment horizontal="left" vertical="top" wrapText="1"/>
    </xf>
    <xf numFmtId="0" fontId="6" fillId="2" borderId="16" xfId="0" applyFont="1" applyFill="1" applyBorder="1" applyAlignment="1">
      <alignment horizontal="left" vertical="top"/>
    </xf>
    <xf numFmtId="0" fontId="6" fillId="2" borderId="17" xfId="0" applyFont="1" applyFill="1" applyBorder="1" applyAlignment="1">
      <alignment horizontal="left" vertical="top"/>
    </xf>
    <xf numFmtId="0" fontId="6" fillId="2" borderId="16" xfId="0" applyFont="1" applyFill="1" applyBorder="1" applyAlignment="1">
      <alignment horizontal="left" vertical="top" wrapText="1"/>
    </xf>
    <xf numFmtId="0" fontId="6" fillId="2" borderId="17" xfId="0" applyFont="1" applyFill="1" applyBorder="1" applyAlignment="1">
      <alignment horizontal="left" vertical="top" wrapText="1"/>
    </xf>
    <xf numFmtId="0" fontId="6" fillId="2" borderId="18" xfId="0" applyFont="1" applyFill="1" applyBorder="1" applyAlignment="1">
      <alignment horizontal="left" vertical="top"/>
    </xf>
    <xf numFmtId="0" fontId="6" fillId="2" borderId="0" xfId="0" applyFont="1" applyFill="1" applyBorder="1" applyAlignment="1">
      <alignment horizontal="left" vertical="top"/>
    </xf>
    <xf numFmtId="0" fontId="6" fillId="2" borderId="19" xfId="0" applyFont="1" applyFill="1" applyBorder="1" applyAlignment="1">
      <alignment horizontal="left" vertical="top"/>
    </xf>
    <xf numFmtId="0" fontId="6" fillId="2" borderId="18" xfId="0" applyFont="1" applyFill="1" applyBorder="1" applyAlignment="1">
      <alignment horizontal="left" vertical="top" wrapText="1"/>
    </xf>
    <xf numFmtId="0" fontId="6" fillId="2" borderId="0" xfId="0" applyFont="1" applyFill="1" applyBorder="1" applyAlignment="1">
      <alignment horizontal="left" vertical="top" wrapText="1"/>
    </xf>
    <xf numFmtId="0" fontId="6" fillId="2" borderId="19" xfId="0" applyFont="1" applyFill="1" applyBorder="1" applyAlignment="1">
      <alignment horizontal="left" vertical="top" wrapText="1"/>
    </xf>
    <xf numFmtId="0" fontId="7" fillId="2" borderId="15" xfId="0" applyFont="1" applyFill="1" applyBorder="1" applyAlignment="1">
      <alignment vertical="center"/>
    </xf>
    <xf numFmtId="0" fontId="0" fillId="2" borderId="16" xfId="0" applyFill="1" applyBorder="1" applyAlignment="1">
      <alignment vertical="center"/>
    </xf>
    <xf numFmtId="0" fontId="0" fillId="2" borderId="17" xfId="0" applyFill="1" applyBorder="1" applyAlignment="1">
      <alignment vertical="center"/>
    </xf>
    <xf numFmtId="0" fontId="0" fillId="2" borderId="18" xfId="0" applyFill="1" applyBorder="1" applyAlignment="1">
      <alignment vertical="center"/>
    </xf>
    <xf numFmtId="0" fontId="0" fillId="2" borderId="0" xfId="0" applyFill="1" applyBorder="1" applyAlignment="1">
      <alignment vertical="center"/>
    </xf>
    <xf numFmtId="0" fontId="0" fillId="2" borderId="19" xfId="0" applyFill="1" applyBorder="1" applyAlignment="1">
      <alignment vertical="center"/>
    </xf>
    <xf numFmtId="176" fontId="3" fillId="2" borderId="0" xfId="0" applyNumberFormat="1" applyFont="1" applyFill="1" applyBorder="1" applyAlignment="1">
      <alignment vertical="center"/>
    </xf>
    <xf numFmtId="176" fontId="3" fillId="2" borderId="19" xfId="0" applyNumberFormat="1" applyFont="1" applyFill="1" applyBorder="1" applyAlignment="1">
      <alignment vertical="center"/>
    </xf>
    <xf numFmtId="0" fontId="3" fillId="2" borderId="0" xfId="0" applyNumberFormat="1" applyFont="1" applyFill="1" applyBorder="1" applyAlignment="1">
      <alignment horizontal="left" vertical="center"/>
    </xf>
    <xf numFmtId="176" fontId="3" fillId="2" borderId="0" xfId="0" applyNumberFormat="1" applyFont="1" applyFill="1" applyAlignment="1">
      <alignment horizontal="center" vertical="center"/>
    </xf>
    <xf numFmtId="176" fontId="3" fillId="2" borderId="19" xfId="0" applyNumberFormat="1" applyFont="1" applyFill="1" applyBorder="1" applyAlignment="1">
      <alignment horizontal="center" vertical="center"/>
    </xf>
    <xf numFmtId="0" fontId="0" fillId="2" borderId="20" xfId="0" applyFill="1" applyBorder="1" applyAlignment="1">
      <alignment vertical="center"/>
    </xf>
    <xf numFmtId="0" fontId="0" fillId="2" borderId="21" xfId="0" applyFill="1" applyBorder="1" applyAlignment="1">
      <alignment vertical="center"/>
    </xf>
    <xf numFmtId="0" fontId="0" fillId="2" borderId="22" xfId="0" applyFill="1" applyBorder="1" applyAlignment="1">
      <alignment vertical="center"/>
    </xf>
    <xf numFmtId="0" fontId="0" fillId="2" borderId="0" xfId="0" applyFill="1" applyAlignment="1">
      <alignment horizontal="center" vertical="center"/>
    </xf>
    <xf numFmtId="0" fontId="3" fillId="2" borderId="0" xfId="0" applyFont="1" applyFill="1" applyAlignment="1">
      <alignment horizontal="left" vertical="top"/>
    </xf>
    <xf numFmtId="0" fontId="3" fillId="2" borderId="0" xfId="0" applyFont="1" applyFill="1" applyAlignment="1">
      <alignment horizontal="left" vertical="center"/>
    </xf>
    <xf numFmtId="0" fontId="3" fillId="2" borderId="0" xfId="0" applyFont="1" applyFill="1" applyAlignment="1">
      <alignment horizontal="center" vertical="center"/>
    </xf>
    <xf numFmtId="0" fontId="8" fillId="2" borderId="0" xfId="0" applyFont="1" applyFill="1" applyBorder="1">
      <alignment vertical="center"/>
    </xf>
    <xf numFmtId="0" fontId="8" fillId="2" borderId="0" xfId="0" applyFont="1" applyFill="1">
      <alignment vertical="center"/>
    </xf>
    <xf numFmtId="0" fontId="9" fillId="2" borderId="0" xfId="0" applyFont="1" applyFill="1" applyBorder="1" applyAlignment="1" applyProtection="1">
      <alignment horizontal="center" vertical="center" wrapText="1"/>
    </xf>
    <xf numFmtId="0" fontId="10" fillId="2" borderId="0" xfId="0" applyFont="1" applyFill="1" applyBorder="1" applyAlignment="1" applyProtection="1">
      <alignment horizontal="center" vertical="center" wrapText="1"/>
    </xf>
    <xf numFmtId="0" fontId="11" fillId="2" borderId="0" xfId="0" applyFont="1" applyFill="1" applyBorder="1" applyAlignment="1" applyProtection="1">
      <alignment horizontal="center" vertical="center"/>
    </xf>
    <xf numFmtId="0" fontId="5" fillId="2" borderId="0" xfId="0" applyFont="1" applyFill="1" applyBorder="1" applyAlignment="1" applyProtection="1">
      <alignment horizontal="left" vertical="center" wrapText="1"/>
    </xf>
    <xf numFmtId="0" fontId="11" fillId="2" borderId="0" xfId="0" applyFont="1" applyFill="1" applyBorder="1" applyAlignment="1" applyProtection="1">
      <alignment horizontal="right" vertical="center"/>
    </xf>
    <xf numFmtId="0" fontId="8" fillId="2" borderId="0" xfId="0" applyFont="1" applyFill="1" applyAlignment="1" applyProtection="1">
      <alignment horizontal="center" vertical="center"/>
    </xf>
    <xf numFmtId="0" fontId="11" fillId="2" borderId="0" xfId="0" applyFont="1" applyFill="1" applyAlignment="1" applyProtection="1">
      <alignment horizontal="center" vertical="center"/>
    </xf>
    <xf numFmtId="0" fontId="5" fillId="2" borderId="21" xfId="0" applyFont="1" applyFill="1" applyBorder="1" applyAlignment="1" applyProtection="1">
      <alignment horizontal="left" vertical="center" wrapText="1"/>
    </xf>
    <xf numFmtId="0" fontId="11" fillId="2" borderId="0" xfId="0" applyFont="1" applyFill="1" applyBorder="1" applyAlignment="1" applyProtection="1">
      <alignment horizontal="right" vertical="center" wrapText="1"/>
    </xf>
    <xf numFmtId="0" fontId="8" fillId="2" borderId="0" xfId="0" applyFont="1" applyFill="1" applyBorder="1" applyAlignment="1" applyProtection="1">
      <alignment horizontal="center" vertical="center" wrapText="1"/>
    </xf>
    <xf numFmtId="0" fontId="11" fillId="2" borderId="0" xfId="0" applyFont="1" applyFill="1" applyBorder="1" applyAlignment="1" applyProtection="1">
      <alignment horizontal="center" vertical="center" wrapText="1"/>
    </xf>
    <xf numFmtId="0" fontId="5" fillId="2" borderId="16" xfId="0" applyFont="1" applyFill="1" applyBorder="1" applyAlignment="1" applyProtection="1">
      <alignment horizontal="left" vertical="center" wrapText="1"/>
    </xf>
    <xf numFmtId="0" fontId="11" fillId="2" borderId="16" xfId="0" applyFont="1" applyFill="1" applyBorder="1" applyAlignment="1" applyProtection="1">
      <alignment horizontal="left" vertical="center" wrapText="1"/>
    </xf>
    <xf numFmtId="0" fontId="12" fillId="2" borderId="0" xfId="0" applyFont="1" applyFill="1" applyBorder="1" applyAlignment="1" applyProtection="1">
      <alignment horizontal="right" vertical="center"/>
    </xf>
    <xf numFmtId="0" fontId="12" fillId="2" borderId="0" xfId="0" applyFont="1" applyFill="1" applyBorder="1" applyAlignment="1" applyProtection="1">
      <alignment horizontal="center" vertical="center"/>
    </xf>
    <xf numFmtId="0" fontId="11" fillId="2" borderId="21" xfId="0" applyFont="1" applyFill="1" applyBorder="1" applyAlignment="1" applyProtection="1">
      <alignment horizontal="left" vertical="center" wrapText="1"/>
    </xf>
    <xf numFmtId="0" fontId="11" fillId="2" borderId="16" xfId="0" applyFont="1" applyFill="1" applyBorder="1" applyAlignment="1" applyProtection="1">
      <alignment horizontal="center" wrapText="1"/>
    </xf>
    <xf numFmtId="0" fontId="11" fillId="2" borderId="0" xfId="0" applyFont="1" applyFill="1" applyAlignment="1" applyProtection="1">
      <alignment horizontal="center" wrapText="1"/>
    </xf>
    <xf numFmtId="0" fontId="5" fillId="2" borderId="0" xfId="0" applyFont="1" applyFill="1" applyAlignment="1" applyProtection="1">
      <alignment horizontal="center" vertical="center"/>
    </xf>
    <xf numFmtId="0" fontId="8" fillId="2" borderId="0" xfId="0" applyNumberFormat="1" applyFont="1" applyFill="1" applyBorder="1" applyAlignment="1" applyProtection="1">
      <alignment horizontal="center" vertical="center" wrapText="1"/>
    </xf>
    <xf numFmtId="0" fontId="8" fillId="2" borderId="0" xfId="0" applyFont="1" applyFill="1" applyAlignment="1">
      <alignment horizontal="center" vertical="center"/>
    </xf>
    <xf numFmtId="0" fontId="12" fillId="2" borderId="0" xfId="0" applyFont="1" applyFill="1" applyBorder="1" applyAlignment="1" applyProtection="1">
      <alignment horizontal="center" vertical="center" wrapText="1"/>
    </xf>
    <xf numFmtId="0" fontId="11" fillId="2" borderId="21" xfId="0" applyFont="1" applyFill="1" applyBorder="1" applyAlignment="1" applyProtection="1">
      <alignment horizontal="center" wrapText="1"/>
    </xf>
    <xf numFmtId="0" fontId="11" fillId="2" borderId="21" xfId="0" applyFont="1" applyFill="1" applyBorder="1" applyAlignment="1" applyProtection="1">
      <alignment horizontal="center" vertical="center" wrapText="1"/>
    </xf>
    <xf numFmtId="0" fontId="5" fillId="2" borderId="0" xfId="0" applyFont="1" applyFill="1" applyBorder="1" applyAlignment="1" applyProtection="1">
      <alignment horizontal="center" vertical="center" wrapText="1"/>
    </xf>
    <xf numFmtId="0" fontId="5" fillId="2" borderId="16" xfId="0" applyFont="1" applyFill="1" applyBorder="1" applyAlignment="1" applyProtection="1">
      <alignment horizontal="left" vertical="center"/>
    </xf>
    <xf numFmtId="14" fontId="8" fillId="2" borderId="0" xfId="0" applyNumberFormat="1" applyFont="1" applyFill="1" applyBorder="1" applyAlignment="1" applyProtection="1">
      <alignment horizontal="center" vertical="center" wrapText="1"/>
    </xf>
    <xf numFmtId="0" fontId="5" fillId="2" borderId="21" xfId="0" applyFont="1" applyFill="1" applyBorder="1" applyAlignment="1" applyProtection="1">
      <alignment horizontal="left" vertical="center"/>
    </xf>
    <xf numFmtId="0" fontId="3" fillId="2" borderId="0" xfId="0" applyFont="1" applyFill="1" applyBorder="1" applyAlignment="1" applyProtection="1">
      <alignment horizontal="right" vertical="center"/>
    </xf>
    <xf numFmtId="0" fontId="12" fillId="2" borderId="0" xfId="0" applyFont="1" applyFill="1" applyBorder="1" applyAlignment="1" applyProtection="1">
      <alignment vertical="center" wrapText="1"/>
    </xf>
    <xf numFmtId="0" fontId="0" fillId="2" borderId="0" xfId="0" applyFont="1" applyFill="1" applyBorder="1" applyAlignment="1" applyProtection="1">
      <alignment horizontal="center" vertical="center" wrapText="1"/>
    </xf>
    <xf numFmtId="0" fontId="3" fillId="2" borderId="0" xfId="0" applyFont="1" applyFill="1" applyAlignment="1" applyProtection="1">
      <alignment horizontal="right" vertical="center" wrapText="1"/>
    </xf>
    <xf numFmtId="0" fontId="3" fillId="2" borderId="0" xfId="0" applyFont="1" applyFill="1" applyAlignment="1" applyProtection="1">
      <alignment horizontal="center"/>
    </xf>
    <xf numFmtId="0" fontId="3" fillId="2" borderId="0" xfId="0" applyFont="1" applyFill="1" applyAlignment="1" applyProtection="1">
      <alignment horizontal="left"/>
    </xf>
    <xf numFmtId="0" fontId="11" fillId="2" borderId="16" xfId="0" applyFont="1" applyFill="1" applyBorder="1" applyAlignment="1" applyProtection="1">
      <alignment horizontal="center" vertical="center"/>
    </xf>
    <xf numFmtId="0" fontId="12" fillId="2" borderId="16" xfId="0" applyFont="1" applyFill="1" applyBorder="1" applyAlignment="1" applyProtection="1">
      <alignment horizontal="center" vertical="center"/>
    </xf>
    <xf numFmtId="0" fontId="3" fillId="2" borderId="0" xfId="0" applyFont="1" applyFill="1" applyAlignment="1" applyProtection="1">
      <alignment horizontal="right" vertical="center"/>
    </xf>
    <xf numFmtId="0" fontId="11" fillId="2" borderId="21" xfId="0" applyFont="1" applyFill="1" applyBorder="1" applyAlignment="1" applyProtection="1">
      <alignment horizontal="center" vertical="center"/>
    </xf>
    <xf numFmtId="0" fontId="12" fillId="2" borderId="0" xfId="0" applyFont="1" applyFill="1" applyBorder="1" applyProtection="1">
      <alignment vertical="center"/>
    </xf>
    <xf numFmtId="0" fontId="3" fillId="2" borderId="0" xfId="0" applyFont="1" applyFill="1" applyBorder="1" applyProtection="1">
      <alignment vertical="center"/>
    </xf>
    <xf numFmtId="0" fontId="3" fillId="2" borderId="16" xfId="0" applyFont="1" applyFill="1" applyBorder="1" applyProtection="1">
      <alignment vertical="center"/>
    </xf>
    <xf numFmtId="0" fontId="12" fillId="2" borderId="23" xfId="0" applyFont="1" applyFill="1" applyBorder="1" applyAlignment="1" applyProtection="1">
      <alignment vertical="center" shrinkToFit="1"/>
    </xf>
    <xf numFmtId="0" fontId="11" fillId="2" borderId="24" xfId="0" applyFont="1" applyFill="1" applyBorder="1" applyAlignment="1" applyProtection="1">
      <alignment horizontal="center" vertical="center"/>
    </xf>
    <xf numFmtId="0" fontId="11" fillId="2" borderId="25" xfId="0" applyFont="1" applyFill="1" applyBorder="1" applyAlignment="1" applyProtection="1">
      <alignment horizontal="center" vertical="center"/>
    </xf>
    <xf numFmtId="0" fontId="11" fillId="2" borderId="25" xfId="0" applyFont="1" applyFill="1" applyBorder="1" applyAlignment="1" applyProtection="1">
      <alignment horizontal="center" vertical="center" wrapText="1"/>
    </xf>
    <xf numFmtId="0" fontId="11" fillId="2" borderId="26" xfId="0" applyFont="1" applyFill="1" applyBorder="1" applyAlignment="1" applyProtection="1">
      <alignment horizontal="center" vertical="center"/>
    </xf>
    <xf numFmtId="0" fontId="11" fillId="2" borderId="27" xfId="0" applyFont="1" applyFill="1" applyBorder="1" applyAlignment="1" applyProtection="1">
      <alignment horizontal="center" vertical="center"/>
    </xf>
    <xf numFmtId="0" fontId="11" fillId="2" borderId="20" xfId="0" applyFont="1" applyFill="1" applyBorder="1" applyAlignment="1" applyProtection="1">
      <alignment horizontal="center" vertical="center"/>
    </xf>
    <xf numFmtId="0" fontId="11" fillId="2" borderId="22" xfId="0" applyFont="1" applyFill="1" applyBorder="1" applyAlignment="1" applyProtection="1">
      <alignment horizontal="center" vertical="center"/>
    </xf>
    <xf numFmtId="0" fontId="11" fillId="2" borderId="22" xfId="0" applyFont="1" applyFill="1" applyBorder="1" applyAlignment="1" applyProtection="1">
      <alignment horizontal="center" vertical="center" wrapText="1"/>
    </xf>
    <xf numFmtId="0" fontId="11" fillId="2" borderId="5" xfId="0" applyFont="1" applyFill="1" applyBorder="1" applyAlignment="1" applyProtection="1">
      <alignment horizontal="center" vertical="center"/>
    </xf>
    <xf numFmtId="0" fontId="5" fillId="2" borderId="15" xfId="0" applyFont="1" applyFill="1" applyBorder="1" applyAlignment="1" applyProtection="1">
      <alignment horizontal="center" vertical="center" shrinkToFit="1"/>
    </xf>
    <xf numFmtId="0" fontId="5" fillId="2" borderId="17" xfId="0" applyFont="1" applyFill="1" applyBorder="1" applyAlignment="1" applyProtection="1">
      <alignment horizontal="center" vertical="center" shrinkToFit="1"/>
    </xf>
    <xf numFmtId="0" fontId="8" fillId="2" borderId="7" xfId="0" applyNumberFormat="1" applyFont="1" applyFill="1" applyBorder="1" applyAlignment="1" applyProtection="1">
      <alignment horizontal="center" vertical="center" shrinkToFit="1"/>
    </xf>
    <xf numFmtId="0" fontId="8" fillId="2" borderId="11" xfId="0" applyNumberFormat="1" applyFont="1" applyFill="1" applyBorder="1" applyAlignment="1" applyProtection="1">
      <alignment horizontal="center" vertical="center" shrinkToFit="1"/>
    </xf>
    <xf numFmtId="0" fontId="3" fillId="2" borderId="11" xfId="0" applyFont="1" applyFill="1" applyBorder="1" applyAlignment="1" applyProtection="1">
      <alignment horizontal="center" vertical="center" shrinkToFit="1"/>
    </xf>
    <xf numFmtId="177" fontId="8" fillId="2" borderId="11" xfId="0" applyNumberFormat="1" applyFont="1" applyFill="1" applyBorder="1" applyAlignment="1" applyProtection="1">
      <alignment horizontal="center" vertical="center" shrinkToFit="1"/>
    </xf>
    <xf numFmtId="0" fontId="8" fillId="2" borderId="15" xfId="0" applyNumberFormat="1" applyFont="1" applyFill="1" applyBorder="1" applyAlignment="1" applyProtection="1">
      <alignment horizontal="center" vertical="center" shrinkToFit="1"/>
    </xf>
    <xf numFmtId="4" fontId="8" fillId="2" borderId="16" xfId="0" applyNumberFormat="1" applyFont="1" applyFill="1" applyBorder="1" applyAlignment="1" applyProtection="1">
      <alignment horizontal="left" vertical="center" shrinkToFit="1"/>
    </xf>
    <xf numFmtId="4" fontId="8" fillId="2" borderId="17" xfId="0" applyNumberFormat="1" applyFont="1" applyFill="1" applyBorder="1" applyAlignment="1" applyProtection="1">
      <alignment horizontal="left" vertical="center" shrinkToFit="1"/>
    </xf>
    <xf numFmtId="0" fontId="13" fillId="0" borderId="0" xfId="0" applyFont="1" applyFill="1" applyBorder="1" applyAlignment="1">
      <alignment horizontal="center" vertical="center"/>
    </xf>
    <xf numFmtId="0" fontId="5" fillId="2" borderId="15" xfId="0" applyFont="1" applyFill="1" applyBorder="1" applyAlignment="1" applyProtection="1">
      <alignment horizontal="center" vertical="center"/>
    </xf>
    <xf numFmtId="0" fontId="5" fillId="2" borderId="17" xfId="0" applyFont="1" applyFill="1" applyBorder="1" applyAlignment="1" applyProtection="1">
      <alignment horizontal="center" vertical="center"/>
    </xf>
    <xf numFmtId="0" fontId="8" fillId="2" borderId="11" xfId="0" applyNumberFormat="1" applyFont="1" applyFill="1" applyBorder="1" applyAlignment="1" applyProtection="1">
      <alignment horizontal="center" vertical="center"/>
    </xf>
    <xf numFmtId="0" fontId="3" fillId="2" borderId="11" xfId="0" applyFont="1" applyFill="1" applyBorder="1" applyAlignment="1" applyProtection="1">
      <alignment horizontal="center" vertical="center"/>
    </xf>
    <xf numFmtId="4" fontId="8" fillId="2" borderId="11" xfId="0" applyNumberFormat="1" applyFont="1" applyFill="1" applyBorder="1" applyAlignment="1" applyProtection="1">
      <alignment horizontal="center" vertical="center"/>
    </xf>
    <xf numFmtId="0" fontId="8" fillId="2" borderId="15" xfId="0" applyNumberFormat="1" applyFont="1" applyFill="1" applyBorder="1" applyAlignment="1" applyProtection="1">
      <alignment horizontal="center" vertical="center"/>
    </xf>
    <xf numFmtId="4" fontId="8" fillId="2" borderId="16" xfId="0" applyNumberFormat="1" applyFont="1" applyFill="1" applyBorder="1" applyAlignment="1" applyProtection="1">
      <alignment horizontal="left" vertical="center"/>
    </xf>
    <xf numFmtId="4" fontId="8" fillId="2" borderId="17" xfId="0" applyNumberFormat="1" applyFont="1" applyFill="1" applyBorder="1" applyAlignment="1" applyProtection="1">
      <alignment horizontal="left" vertical="center"/>
    </xf>
    <xf numFmtId="0" fontId="14" fillId="2" borderId="0" xfId="0" applyFont="1" applyFill="1" applyBorder="1" applyProtection="1">
      <alignment vertical="center"/>
    </xf>
    <xf numFmtId="178" fontId="14" fillId="2" borderId="15" xfId="0" applyNumberFormat="1" applyFont="1" applyFill="1" applyBorder="1" applyAlignment="1" applyProtection="1">
      <alignment horizontal="center" vertical="center"/>
    </xf>
    <xf numFmtId="179" fontId="14" fillId="2" borderId="28" xfId="0" applyNumberFormat="1" applyFont="1" applyFill="1" applyBorder="1" applyAlignment="1" applyProtection="1">
      <alignment horizontal="left" vertical="center"/>
    </xf>
    <xf numFmtId="0" fontId="12" fillId="2" borderId="0" xfId="0" applyFont="1" applyFill="1" applyBorder="1" applyAlignment="1" applyProtection="1">
      <alignment vertical="center"/>
    </xf>
    <xf numFmtId="0" fontId="15" fillId="2" borderId="0" xfId="0" applyFont="1" applyFill="1" applyBorder="1" applyAlignment="1" applyProtection="1">
      <alignment vertical="center"/>
    </xf>
    <xf numFmtId="178" fontId="14" fillId="2" borderId="29" xfId="0" applyNumberFormat="1" applyFont="1" applyFill="1" applyBorder="1" applyAlignment="1" applyProtection="1">
      <alignment horizontal="center" vertical="center"/>
    </xf>
    <xf numFmtId="179" fontId="14" fillId="2" borderId="0" xfId="0" applyNumberFormat="1" applyFont="1" applyFill="1" applyBorder="1" applyAlignment="1" applyProtection="1">
      <alignment horizontal="left" vertical="center"/>
    </xf>
    <xf numFmtId="0" fontId="0" fillId="2" borderId="0" xfId="0" applyFont="1" applyFill="1" applyBorder="1" applyAlignment="1" applyProtection="1">
      <alignment horizontal="left" vertical="center"/>
    </xf>
    <xf numFmtId="0" fontId="0" fillId="2" borderId="0" xfId="0" applyFont="1" applyFill="1" applyBorder="1" applyProtection="1">
      <alignment vertical="center"/>
    </xf>
    <xf numFmtId="179" fontId="2" fillId="2" borderId="0" xfId="0" applyNumberFormat="1" applyFont="1" applyFill="1" applyBorder="1" applyAlignment="1" applyProtection="1">
      <alignment horizontal="right" vertical="center"/>
    </xf>
    <xf numFmtId="180" fontId="2" fillId="2" borderId="0" xfId="0" applyNumberFormat="1" applyFont="1" applyFill="1" applyBorder="1" applyAlignment="1" applyProtection="1">
      <alignment horizontal="left" vertical="center" wrapText="1"/>
    </xf>
    <xf numFmtId="180" fontId="2" fillId="2" borderId="0" xfId="0" applyNumberFormat="1" applyFont="1" applyFill="1" applyBorder="1" applyAlignment="1" applyProtection="1">
      <alignment horizontal="left" vertical="center"/>
    </xf>
    <xf numFmtId="0" fontId="16" fillId="0" borderId="0" xfId="0" applyFont="1">
      <alignment vertical="center"/>
    </xf>
    <xf numFmtId="0" fontId="8" fillId="2" borderId="0" xfId="0" applyFont="1" applyFill="1" applyBorder="1" applyProtection="1">
      <alignment vertical="center"/>
    </xf>
    <xf numFmtId="0" fontId="0" fillId="2" borderId="0" xfId="0" applyFill="1" applyBorder="1" applyAlignment="1" applyProtection="1">
      <alignment horizontal="center" vertical="center"/>
    </xf>
    <xf numFmtId="0" fontId="0" fillId="2" borderId="0" xfId="0" applyFill="1" applyBorder="1" applyAlignment="1" applyProtection="1">
      <alignment horizontal="left" vertical="center" shrinkToFit="1"/>
    </xf>
    <xf numFmtId="0" fontId="8" fillId="2" borderId="0" xfId="0" applyFont="1" applyFill="1" applyBorder="1" applyAlignment="1" applyProtection="1">
      <alignment horizontal="left" vertical="center" shrinkToFit="1"/>
    </xf>
    <xf numFmtId="176" fontId="8" fillId="2" borderId="0" xfId="0" applyNumberFormat="1" applyFont="1" applyFill="1" applyBorder="1" applyAlignment="1" applyProtection="1">
      <alignment horizontal="center" vertical="center"/>
    </xf>
    <xf numFmtId="0" fontId="0" fillId="2" borderId="0" xfId="0" applyFill="1" applyBorder="1" applyAlignment="1" applyProtection="1">
      <alignment horizontal="left" vertical="center"/>
    </xf>
    <xf numFmtId="0" fontId="0" fillId="2" borderId="0" xfId="0" applyFill="1" applyBorder="1" applyProtection="1">
      <alignment vertical="center"/>
    </xf>
    <xf numFmtId="0" fontId="17" fillId="2" borderId="0" xfId="0" applyFont="1" applyFill="1" applyBorder="1" applyAlignment="1" applyProtection="1">
      <alignment horizontal="left" vertical="center"/>
    </xf>
    <xf numFmtId="0" fontId="0" fillId="2" borderId="0" xfId="0" applyFill="1" applyBorder="1" applyAlignment="1" applyProtection="1">
      <alignment horizontal="right" vertical="center"/>
    </xf>
    <xf numFmtId="0" fontId="8" fillId="2" borderId="0" xfId="0" applyFont="1" applyFill="1" applyBorder="1" applyAlignment="1" applyProtection="1">
      <alignment vertical="center"/>
    </xf>
    <xf numFmtId="0" fontId="8" fillId="2" borderId="0" xfId="0" applyFont="1" applyFill="1" applyBorder="1" applyAlignment="1" applyProtection="1">
      <alignment horizontal="center" vertical="center"/>
    </xf>
    <xf numFmtId="0" fontId="8" fillId="2" borderId="0" xfId="0" applyFont="1" applyFill="1" applyBorder="1" applyAlignment="1" applyProtection="1">
      <alignment horizontal="left" vertical="center"/>
    </xf>
    <xf numFmtId="0" fontId="8" fillId="2" borderId="0" xfId="0" applyFont="1" applyFill="1" applyAlignment="1" applyProtection="1">
      <alignment horizontal="left" vertical="center"/>
    </xf>
    <xf numFmtId="0" fontId="8" fillId="2" borderId="0" xfId="0" applyFont="1" applyFill="1" applyProtection="1">
      <alignment vertical="center"/>
    </xf>
    <xf numFmtId="0" fontId="18" fillId="2" borderId="0" xfId="0" applyFont="1" applyFill="1" applyBorder="1" applyProtection="1">
      <alignment vertical="center"/>
    </xf>
    <xf numFmtId="0" fontId="8" fillId="2" borderId="0" xfId="0" applyFont="1" applyFill="1" applyAlignment="1">
      <alignment horizontal="left" vertical="center"/>
    </xf>
    <xf numFmtId="0" fontId="19" fillId="2" borderId="0" xfId="0" applyFont="1" applyFill="1" applyBorder="1" applyAlignment="1" applyProtection="1">
      <alignment horizontal="center" vertical="center" wrapText="1"/>
    </xf>
    <xf numFmtId="0" fontId="19" fillId="2" borderId="0" xfId="0" applyFont="1" applyFill="1" applyBorder="1" applyAlignment="1" applyProtection="1">
      <alignment horizontal="left" vertical="center" wrapText="1"/>
    </xf>
    <xf numFmtId="0" fontId="20" fillId="2" borderId="0" xfId="0" applyFont="1" applyFill="1" applyBorder="1" applyAlignment="1" applyProtection="1">
      <alignment horizontal="center" vertical="center"/>
    </xf>
    <xf numFmtId="0" fontId="0" fillId="2" borderId="0" xfId="0" applyFont="1" applyFill="1" applyBorder="1" applyAlignment="1" applyProtection="1">
      <alignment horizontal="left" vertical="center" wrapText="1"/>
    </xf>
    <xf numFmtId="14" fontId="8" fillId="2" borderId="21" xfId="0" applyNumberFormat="1" applyFont="1" applyFill="1" applyBorder="1" applyAlignment="1" applyProtection="1">
      <alignment horizontal="left" vertical="center" wrapText="1"/>
    </xf>
    <xf numFmtId="0" fontId="21" fillId="2" borderId="0" xfId="0" applyFont="1" applyFill="1" applyBorder="1" applyAlignment="1" applyProtection="1">
      <alignment vertical="center"/>
    </xf>
    <xf numFmtId="0" fontId="22" fillId="2" borderId="0" xfId="0" applyFont="1" applyFill="1" applyBorder="1" applyAlignment="1" applyProtection="1">
      <alignment vertical="center"/>
    </xf>
    <xf numFmtId="0" fontId="12" fillId="2" borderId="0" xfId="0" applyFont="1" applyFill="1" applyBorder="1" applyAlignment="1" applyProtection="1">
      <alignment horizontal="left" vertical="center" wrapText="1"/>
    </xf>
    <xf numFmtId="0" fontId="0" fillId="2" borderId="0" xfId="0" applyFont="1" applyFill="1" applyBorder="1" applyAlignment="1" applyProtection="1">
      <alignment vertical="center" wrapText="1"/>
    </xf>
    <xf numFmtId="0" fontId="8" fillId="2" borderId="21" xfId="0" applyNumberFormat="1" applyFont="1" applyFill="1" applyBorder="1" applyAlignment="1" applyProtection="1">
      <alignment horizontal="left" vertical="center" wrapText="1"/>
    </xf>
    <xf numFmtId="0" fontId="0" fillId="2" borderId="21" xfId="0" applyFont="1" applyFill="1" applyBorder="1" applyAlignment="1" applyProtection="1">
      <alignment horizontal="left" vertical="center" wrapText="1"/>
    </xf>
    <xf numFmtId="0" fontId="0" fillId="2" borderId="0" xfId="0" applyFill="1" applyBorder="1" applyAlignment="1" applyProtection="1">
      <alignment wrapText="1"/>
    </xf>
    <xf numFmtId="0" fontId="8" fillId="2" borderId="0" xfId="0" applyFont="1" applyFill="1" applyBorder="1" applyAlignment="1" applyProtection="1">
      <alignment wrapText="1"/>
    </xf>
    <xf numFmtId="0" fontId="0" fillId="2" borderId="0" xfId="0" applyFont="1" applyFill="1" applyBorder="1" applyAlignment="1" applyProtection="1">
      <alignment horizontal="center" vertical="center"/>
    </xf>
    <xf numFmtId="0" fontId="0" fillId="2" borderId="0" xfId="0" applyFont="1" applyFill="1" applyBorder="1" applyAlignment="1" applyProtection="1">
      <alignment horizontal="left"/>
    </xf>
    <xf numFmtId="0" fontId="23" fillId="2" borderId="0" xfId="0" applyFont="1" applyFill="1" applyBorder="1" applyAlignment="1" applyProtection="1">
      <alignment vertical="center"/>
    </xf>
    <xf numFmtId="0" fontId="0" fillId="2" borderId="0" xfId="0" applyFont="1" applyFill="1" applyBorder="1" applyAlignment="1" applyProtection="1">
      <alignment vertical="center"/>
    </xf>
    <xf numFmtId="0" fontId="0" fillId="2" borderId="0" xfId="0" applyFont="1" applyFill="1" applyBorder="1" applyAlignment="1" applyProtection="1">
      <alignment vertical="top" wrapText="1"/>
    </xf>
    <xf numFmtId="0" fontId="0" fillId="2" borderId="21" xfId="0" applyFont="1" applyFill="1" applyBorder="1" applyAlignment="1" applyProtection="1">
      <alignment horizontal="center" vertical="top"/>
    </xf>
    <xf numFmtId="0" fontId="0" fillId="2" borderId="21" xfId="0" applyFont="1" applyFill="1" applyBorder="1" applyAlignment="1" applyProtection="1">
      <alignment horizontal="center" vertical="center"/>
    </xf>
    <xf numFmtId="0" fontId="0" fillId="2" borderId="0" xfId="0" applyFont="1" applyFill="1" applyBorder="1" applyAlignment="1" applyProtection="1">
      <alignment horizontal="center" vertical="top"/>
    </xf>
    <xf numFmtId="0" fontId="0" fillId="2" borderId="7" xfId="0" applyFont="1" applyFill="1" applyBorder="1" applyAlignment="1" applyProtection="1">
      <alignment horizontal="center" vertical="center" wrapText="1"/>
    </xf>
    <xf numFmtId="0" fontId="0" fillId="2" borderId="7" xfId="0" applyFill="1" applyBorder="1" applyAlignment="1" applyProtection="1">
      <alignment horizontal="center" vertical="center" wrapText="1"/>
    </xf>
    <xf numFmtId="0" fontId="5" fillId="2" borderId="7" xfId="0" applyFont="1" applyFill="1" applyBorder="1" applyAlignment="1" applyProtection="1">
      <alignment horizontal="center" vertical="center" wrapText="1"/>
    </xf>
    <xf numFmtId="0" fontId="0" fillId="2" borderId="7" xfId="0" applyFont="1" applyFill="1" applyBorder="1" applyAlignment="1" applyProtection="1">
      <alignment horizontal="left" vertical="center" wrapText="1"/>
    </xf>
    <xf numFmtId="0" fontId="0" fillId="2" borderId="30" xfId="0" applyFill="1" applyBorder="1" applyAlignment="1" applyProtection="1">
      <alignment horizontal="center" vertical="center" wrapText="1"/>
    </xf>
    <xf numFmtId="0" fontId="8" fillId="2" borderId="6" xfId="0" applyFont="1" applyFill="1" applyBorder="1" applyAlignment="1" applyProtection="1">
      <alignment horizontal="center" vertical="top" wrapText="1"/>
    </xf>
    <xf numFmtId="0" fontId="5" fillId="2" borderId="19" xfId="0" applyFont="1" applyFill="1" applyBorder="1" applyAlignment="1" applyProtection="1">
      <alignment horizontal="center" vertical="center" shrinkToFit="1"/>
    </xf>
    <xf numFmtId="0" fontId="8" fillId="2" borderId="19" xfId="0" applyNumberFormat="1" applyFont="1" applyFill="1" applyBorder="1" applyAlignment="1" applyProtection="1">
      <alignment horizontal="center" vertical="center" shrinkToFit="1"/>
    </xf>
    <xf numFmtId="0" fontId="8" fillId="2" borderId="0" xfId="0" applyFont="1" applyFill="1" applyBorder="1" applyAlignment="1" applyProtection="1">
      <alignment horizontal="right" vertical="center" shrinkToFit="1"/>
      <protection locked="0"/>
    </xf>
    <xf numFmtId="0" fontId="8" fillId="2" borderId="0" xfId="0" applyFont="1" applyFill="1" applyBorder="1" applyAlignment="1" applyProtection="1">
      <alignment horizontal="left" vertical="center" shrinkToFit="1"/>
      <protection locked="0"/>
    </xf>
    <xf numFmtId="0" fontId="8" fillId="2" borderId="6" xfId="0" applyNumberFormat="1" applyFont="1" applyFill="1" applyBorder="1" applyAlignment="1" applyProtection="1">
      <alignment horizontal="center" vertical="center" shrinkToFit="1"/>
    </xf>
    <xf numFmtId="0" fontId="11" fillId="2" borderId="0" xfId="0" applyFont="1" applyFill="1" applyBorder="1" applyProtection="1">
      <alignment vertical="center"/>
    </xf>
    <xf numFmtId="0" fontId="8" fillId="2" borderId="5" xfId="0" applyFont="1" applyFill="1" applyBorder="1" applyAlignment="1" applyProtection="1">
      <alignment horizontal="center" vertical="top" wrapText="1"/>
    </xf>
    <xf numFmtId="0" fontId="2" fillId="2" borderId="5" xfId="0" applyFont="1" applyFill="1" applyBorder="1" applyAlignment="1" applyProtection="1">
      <alignment vertical="center" wrapText="1"/>
    </xf>
    <xf numFmtId="0" fontId="2" fillId="2" borderId="7" xfId="0" applyFont="1" applyFill="1" applyBorder="1" applyAlignment="1" applyProtection="1">
      <alignment vertical="center" wrapText="1"/>
    </xf>
    <xf numFmtId="0" fontId="2" fillId="2" borderId="10" xfId="0" applyFont="1" applyFill="1" applyBorder="1" applyAlignment="1" applyProtection="1">
      <alignment vertical="center" shrinkToFit="1"/>
    </xf>
    <xf numFmtId="0" fontId="8" fillId="2" borderId="10" xfId="0" applyNumberFormat="1" applyFont="1" applyFill="1" applyBorder="1" applyAlignment="1" applyProtection="1">
      <alignment horizontal="center" vertical="center" shrinkToFit="1"/>
    </xf>
    <xf numFmtId="0" fontId="8" fillId="2" borderId="9" xfId="0" applyFont="1" applyFill="1" applyBorder="1" applyAlignment="1" applyProtection="1">
      <alignment vertical="center" shrinkToFit="1"/>
      <protection locked="0"/>
    </xf>
    <xf numFmtId="0" fontId="8" fillId="2" borderId="10" xfId="0" applyFont="1" applyFill="1" applyBorder="1" applyAlignment="1" applyProtection="1">
      <alignment vertical="center" shrinkToFit="1"/>
      <protection locked="0"/>
    </xf>
    <xf numFmtId="0" fontId="8" fillId="2" borderId="22" xfId="0" applyNumberFormat="1" applyFont="1" applyFill="1" applyBorder="1" applyAlignment="1" applyProtection="1">
      <alignment horizontal="center" vertical="center" shrinkToFit="1"/>
    </xf>
    <xf numFmtId="0" fontId="2" fillId="2" borderId="0" xfId="0" applyFont="1" applyFill="1" applyBorder="1" applyAlignment="1" applyProtection="1">
      <alignment horizontal="center" vertical="center" wrapText="1"/>
    </xf>
    <xf numFmtId="0" fontId="0" fillId="2" borderId="21" xfId="0" applyNumberFormat="1" applyFont="1" applyFill="1" applyBorder="1" applyAlignment="1" applyProtection="1">
      <alignment horizontal="left" vertical="center" wrapText="1"/>
    </xf>
    <xf numFmtId="0" fontId="0" fillId="2" borderId="0" xfId="0" applyFill="1" applyBorder="1" applyAlignment="1" applyProtection="1">
      <alignment vertical="center" wrapText="1"/>
    </xf>
    <xf numFmtId="14" fontId="0" fillId="2" borderId="21" xfId="0" applyNumberFormat="1" applyFont="1" applyFill="1" applyBorder="1" applyAlignment="1" applyProtection="1">
      <alignment horizontal="left" vertical="center" wrapText="1"/>
    </xf>
    <xf numFmtId="0" fontId="0" fillId="2" borderId="0" xfId="0" applyFill="1" applyAlignment="1" applyProtection="1">
      <alignment vertical="center"/>
    </xf>
    <xf numFmtId="0" fontId="0" fillId="2" borderId="0" xfId="0" applyFill="1" applyBorder="1" applyAlignment="1" applyProtection="1">
      <alignment vertical="center"/>
    </xf>
    <xf numFmtId="0" fontId="0" fillId="2" borderId="8" xfId="0" applyFill="1" applyBorder="1" applyAlignment="1" applyProtection="1">
      <alignment horizontal="center" vertical="center" wrapText="1"/>
    </xf>
    <xf numFmtId="0" fontId="0" fillId="2" borderId="18" xfId="0" applyFill="1" applyBorder="1" applyAlignment="1" applyProtection="1">
      <alignment horizontal="center" vertical="top" wrapText="1"/>
    </xf>
    <xf numFmtId="0" fontId="0" fillId="2" borderId="0" xfId="0" applyFill="1" applyBorder="1" applyAlignment="1" applyProtection="1">
      <alignment horizontal="center" vertical="top"/>
    </xf>
    <xf numFmtId="0" fontId="0" fillId="2" borderId="18" xfId="0" applyFill="1" applyBorder="1" applyAlignment="1" applyProtection="1">
      <alignment horizontal="center" vertical="center" shrinkToFit="1"/>
    </xf>
    <xf numFmtId="0" fontId="3" fillId="2" borderId="19" xfId="0" applyFont="1" applyFill="1" applyBorder="1" applyAlignment="1" applyProtection="1">
      <alignment horizontal="center" vertical="center" shrinkToFit="1"/>
    </xf>
    <xf numFmtId="177" fontId="5" fillId="2" borderId="19" xfId="0" applyNumberFormat="1" applyFont="1" applyFill="1" applyBorder="1" applyAlignment="1" applyProtection="1">
      <alignment horizontal="center" vertical="center" shrinkToFit="1"/>
    </xf>
    <xf numFmtId="181" fontId="0" fillId="2" borderId="0" xfId="0" applyNumberFormat="1" applyFill="1" applyBorder="1" applyAlignment="1" applyProtection="1">
      <alignment horizontal="center" vertical="center" shrinkToFit="1"/>
    </xf>
    <xf numFmtId="0" fontId="0" fillId="2" borderId="0" xfId="0" applyFill="1" applyBorder="1">
      <alignment vertical="center"/>
    </xf>
    <xf numFmtId="0" fontId="0" fillId="2" borderId="18" xfId="0" applyFill="1" applyBorder="1" applyAlignment="1" applyProtection="1">
      <alignment horizontal="center" vertical="top"/>
    </xf>
    <xf numFmtId="0" fontId="2" fillId="2" borderId="0" xfId="0" applyFont="1" applyFill="1" applyBorder="1" applyAlignment="1" applyProtection="1">
      <alignment horizontal="center" vertical="center"/>
    </xf>
    <xf numFmtId="180" fontId="2" fillId="2" borderId="0" xfId="0" applyNumberFormat="1" applyFont="1" applyFill="1" applyBorder="1" applyAlignment="1" applyProtection="1">
      <alignment horizontal="center" vertical="center" wrapText="1" shrinkToFit="1"/>
    </xf>
    <xf numFmtId="180" fontId="2" fillId="2" borderId="0" xfId="0" applyNumberFormat="1" applyFont="1" applyFill="1" applyBorder="1" applyAlignment="1" applyProtection="1">
      <alignment horizontal="center" vertical="center" shrinkToFit="1"/>
    </xf>
    <xf numFmtId="0" fontId="2" fillId="2" borderId="0" xfId="0" applyNumberFormat="1" applyFont="1" applyFill="1" applyBorder="1" applyAlignment="1" applyProtection="1">
      <alignment horizontal="right" vertical="center" shrinkToFit="1"/>
    </xf>
    <xf numFmtId="181" fontId="2" fillId="2" borderId="0" xfId="0" applyNumberFormat="1" applyFont="1" applyFill="1" applyBorder="1" applyAlignment="1" applyProtection="1">
      <alignment horizontal="right" vertical="center" shrinkToFit="1"/>
    </xf>
    <xf numFmtId="179" fontId="2" fillId="2" borderId="0" xfId="0" applyNumberFormat="1" applyFont="1" applyFill="1" applyBorder="1" applyAlignment="1" applyProtection="1">
      <alignment horizontal="left" vertical="center" shrinkToFit="1"/>
    </xf>
    <xf numFmtId="0" fontId="2" fillId="2" borderId="9" xfId="0" applyFont="1" applyFill="1" applyBorder="1" applyAlignment="1" applyProtection="1">
      <alignment horizontal="center" vertical="center"/>
    </xf>
    <xf numFmtId="180" fontId="2" fillId="2" borderId="9" xfId="0" applyNumberFormat="1" applyFont="1" applyFill="1" applyBorder="1" applyAlignment="1" applyProtection="1">
      <alignment horizontal="center" vertical="center" wrapText="1" shrinkToFit="1"/>
    </xf>
    <xf numFmtId="180" fontId="2" fillId="2" borderId="9" xfId="0" applyNumberFormat="1" applyFont="1" applyFill="1" applyBorder="1" applyAlignment="1" applyProtection="1">
      <alignment horizontal="center" vertical="center" shrinkToFit="1"/>
    </xf>
    <xf numFmtId="0" fontId="2" fillId="2" borderId="9" xfId="0" applyNumberFormat="1" applyFont="1" applyFill="1" applyBorder="1" applyAlignment="1" applyProtection="1">
      <alignment horizontal="right" vertical="center" shrinkToFit="1"/>
    </xf>
    <xf numFmtId="181" fontId="2" fillId="2" borderId="9" xfId="0" applyNumberFormat="1" applyFont="1" applyFill="1" applyBorder="1" applyAlignment="1" applyProtection="1">
      <alignment horizontal="right" vertical="center" shrinkToFit="1"/>
    </xf>
    <xf numFmtId="179" fontId="2" fillId="2" borderId="9" xfId="0" applyNumberFormat="1" applyFont="1" applyFill="1" applyBorder="1" applyAlignment="1" applyProtection="1">
      <alignment horizontal="left" vertical="center" shrinkToFit="1"/>
    </xf>
    <xf numFmtId="0" fontId="1" fillId="2" borderId="0" xfId="0" applyFont="1" applyFill="1" applyBorder="1" applyAlignment="1" applyProtection="1">
      <alignment horizontal="center" vertical="center" wrapText="1"/>
    </xf>
    <xf numFmtId="0" fontId="1"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0" xfId="0" applyFill="1" applyAlignment="1" applyProtection="1">
      <alignment horizontal="left" vertical="center"/>
    </xf>
    <xf numFmtId="0" fontId="2" fillId="2" borderId="0" xfId="0" applyFont="1" applyFill="1" applyAlignment="1" applyProtection="1">
      <alignment horizontal="left" vertical="center"/>
    </xf>
    <xf numFmtId="0" fontId="0" fillId="2" borderId="0" xfId="0" applyFill="1" applyProtection="1">
      <alignment vertical="center"/>
    </xf>
    <xf numFmtId="0" fontId="0" fillId="3" borderId="0" xfId="0" applyFill="1">
      <alignment vertical="center"/>
    </xf>
    <xf numFmtId="0" fontId="23" fillId="3" borderId="0" xfId="0" applyFont="1" applyFill="1">
      <alignment vertical="center"/>
    </xf>
    <xf numFmtId="0" fontId="0" fillId="3" borderId="0" xfId="0" applyFont="1" applyFill="1">
      <alignment vertical="center"/>
    </xf>
    <xf numFmtId="0" fontId="2" fillId="3" borderId="0" xfId="0" applyFont="1" applyFill="1">
      <alignment vertical="center"/>
    </xf>
    <xf numFmtId="0" fontId="0" fillId="0" borderId="0" xfId="0" applyAlignment="1">
      <alignment horizontal="left" vertical="center"/>
    </xf>
    <xf numFmtId="0" fontId="3" fillId="0" borderId="0" xfId="0" applyFont="1" applyAlignment="1">
      <alignment vertical="center"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0" xfId="0" applyAlignment="1">
      <alignment vertical="center" wrapText="1"/>
    </xf>
    <xf numFmtId="0" fontId="2" fillId="0" borderId="0" xfId="0" applyFont="1" applyAlignment="1">
      <alignment horizontal="left" vertical="center"/>
    </xf>
    <xf numFmtId="49" fontId="0" fillId="0" borderId="0" xfId="0" applyNumberFormat="1" applyAlignment="1">
      <alignment horizontal="left" vertical="center"/>
    </xf>
    <xf numFmtId="0" fontId="24" fillId="0" borderId="0" xfId="0" applyFont="1" applyAlignment="1">
      <alignment horizontal="left" vertical="center"/>
    </xf>
    <xf numFmtId="0" fontId="0" fillId="0" borderId="0" xfId="0" applyFont="1" applyAlignment="1">
      <alignment horizontal="left" vertical="center"/>
    </xf>
    <xf numFmtId="0" fontId="25" fillId="0" borderId="0" xfId="6" applyFont="1" applyAlignment="1">
      <alignment horizontal="left" vertical="center"/>
    </xf>
    <xf numFmtId="0" fontId="26" fillId="0" borderId="0" xfId="6" applyAlignment="1">
      <alignment horizontal="left" vertical="center"/>
    </xf>
    <xf numFmtId="0" fontId="27" fillId="0" borderId="0" xfId="0" applyFont="1" applyAlignment="1">
      <alignment horizontal="center" vertical="center" wrapText="1"/>
    </xf>
    <xf numFmtId="49" fontId="27" fillId="0" borderId="0" xfId="0" applyNumberFormat="1" applyFont="1" applyAlignment="1">
      <alignment horizontal="center" vertical="center" wrapText="1"/>
    </xf>
    <xf numFmtId="0" fontId="3" fillId="0" borderId="7" xfId="0" applyFont="1" applyBorder="1" applyAlignment="1">
      <alignment horizontal="center" vertical="center" wrapText="1"/>
    </xf>
    <xf numFmtId="49" fontId="3" fillId="0" borderId="7" xfId="0" applyNumberFormat="1" applyFont="1" applyBorder="1" applyAlignment="1">
      <alignment horizontal="center" vertical="center" wrapText="1"/>
    </xf>
    <xf numFmtId="0" fontId="0" fillId="0" borderId="7" xfId="0" applyBorder="1" applyAlignment="1">
      <alignment horizontal="center" vertical="center" wrapText="1"/>
    </xf>
    <xf numFmtId="0" fontId="5" fillId="0" borderId="7" xfId="0" applyFont="1" applyBorder="1" applyAlignment="1">
      <alignment horizontal="center" vertical="center" wrapText="1"/>
    </xf>
    <xf numFmtId="49" fontId="5" fillId="0" borderId="7" xfId="0" applyNumberFormat="1" applyFont="1" applyBorder="1" applyAlignment="1">
      <alignment horizontal="center" vertical="center" wrapText="1"/>
    </xf>
    <xf numFmtId="0" fontId="0" fillId="2" borderId="0" xfId="0" applyFill="1" applyAlignment="1">
      <alignment horizontal="right" vertical="center"/>
    </xf>
    <xf numFmtId="0" fontId="28" fillId="2" borderId="0" xfId="0" applyFont="1" applyFill="1" applyBorder="1" applyAlignment="1">
      <alignment horizontal="center" vertical="center"/>
    </xf>
    <xf numFmtId="0" fontId="28" fillId="2" borderId="0" xfId="0" applyFont="1" applyFill="1" applyBorder="1" applyAlignment="1">
      <alignment horizontal="right" vertical="center"/>
    </xf>
    <xf numFmtId="0" fontId="3" fillId="2" borderId="0" xfId="0" applyFont="1" applyFill="1" applyBorder="1" applyAlignment="1">
      <alignment horizontal="right" vertical="center" shrinkToFit="1"/>
    </xf>
    <xf numFmtId="0" fontId="3" fillId="2" borderId="0" xfId="0" applyFont="1" applyFill="1" applyBorder="1" applyAlignment="1">
      <alignment horizontal="left" vertical="center" shrinkToFit="1"/>
    </xf>
    <xf numFmtId="0" fontId="3" fillId="2" borderId="0" xfId="0" applyFont="1" applyFill="1" applyBorder="1" applyAlignment="1">
      <alignment vertical="center" shrinkToFit="1"/>
    </xf>
    <xf numFmtId="0" fontId="3" fillId="2" borderId="31" xfId="0" applyFont="1" applyFill="1" applyBorder="1" applyAlignment="1">
      <alignment horizontal="left" vertical="center" shrinkToFit="1"/>
    </xf>
    <xf numFmtId="0" fontId="3" fillId="2" borderId="32" xfId="0" applyFont="1" applyFill="1" applyBorder="1" applyAlignment="1">
      <alignment horizontal="left" vertical="center" shrinkToFit="1"/>
    </xf>
    <xf numFmtId="0" fontId="3" fillId="2" borderId="33" xfId="0" applyFont="1" applyFill="1" applyBorder="1" applyAlignment="1">
      <alignment horizontal="left" vertical="center" shrinkToFit="1"/>
    </xf>
    <xf numFmtId="0" fontId="29" fillId="2" borderId="34" xfId="0" applyFont="1" applyFill="1" applyBorder="1" applyAlignment="1">
      <alignment vertical="center" shrinkToFit="1"/>
    </xf>
    <xf numFmtId="0" fontId="3" fillId="2" borderId="33" xfId="0" applyFont="1" applyFill="1" applyBorder="1" applyAlignment="1">
      <alignment vertical="center" shrinkToFit="1"/>
    </xf>
    <xf numFmtId="0" fontId="3" fillId="2" borderId="34" xfId="0" applyFont="1" applyFill="1" applyBorder="1" applyAlignment="1">
      <alignment vertical="center" shrinkToFit="1"/>
    </xf>
    <xf numFmtId="0" fontId="3" fillId="2" borderId="32" xfId="0" applyFont="1" applyFill="1" applyBorder="1" applyAlignment="1">
      <alignment horizontal="right" vertical="center" shrinkToFit="1"/>
    </xf>
    <xf numFmtId="0" fontId="3" fillId="2" borderId="35" xfId="0" applyFont="1" applyFill="1" applyBorder="1" applyAlignment="1">
      <alignment horizontal="left" vertical="center" shrinkToFit="1"/>
    </xf>
    <xf numFmtId="0" fontId="30" fillId="2" borderId="31" xfId="0" applyFont="1" applyFill="1" applyBorder="1" applyAlignment="1"/>
    <xf numFmtId="0" fontId="29" fillId="2" borderId="32" xfId="0" applyFont="1" applyFill="1" applyBorder="1" applyAlignment="1"/>
    <xf numFmtId="0" fontId="30" fillId="2" borderId="32" xfId="0" applyFont="1" applyFill="1" applyBorder="1" applyAlignment="1"/>
    <xf numFmtId="0" fontId="30" fillId="2" borderId="35" xfId="0" applyFont="1" applyFill="1" applyBorder="1" applyAlignment="1"/>
    <xf numFmtId="0" fontId="2" fillId="2" borderId="36" xfId="0" applyFont="1" applyFill="1" applyBorder="1" applyAlignment="1">
      <alignment horizontal="left" vertical="center" shrinkToFit="1"/>
    </xf>
    <xf numFmtId="0" fontId="2" fillId="2" borderId="21" xfId="0" applyFont="1" applyFill="1" applyBorder="1" applyAlignment="1">
      <alignment horizontal="left" vertical="center" shrinkToFit="1"/>
    </xf>
    <xf numFmtId="0" fontId="2" fillId="2" borderId="22" xfId="0" applyFont="1" applyFill="1" applyBorder="1" applyAlignment="1">
      <alignment horizontal="left" vertical="center" shrinkToFit="1"/>
    </xf>
    <xf numFmtId="0" fontId="0" fillId="2" borderId="20" xfId="0" applyFill="1" applyBorder="1" applyAlignment="1">
      <alignment horizontal="left" vertical="center" shrinkToFit="1"/>
    </xf>
    <xf numFmtId="0" fontId="0" fillId="2" borderId="22" xfId="0" applyFill="1" applyBorder="1" applyAlignment="1">
      <alignment horizontal="left" vertical="center" shrinkToFit="1"/>
    </xf>
    <xf numFmtId="0" fontId="0" fillId="2" borderId="21" xfId="0" applyFill="1" applyBorder="1" applyAlignment="1">
      <alignment horizontal="left" vertical="center" shrinkToFit="1"/>
    </xf>
    <xf numFmtId="0" fontId="0" fillId="2" borderId="21" xfId="0" applyFill="1" applyBorder="1" applyAlignment="1">
      <alignment horizontal="right" vertical="center" shrinkToFit="1"/>
    </xf>
    <xf numFmtId="0" fontId="0" fillId="2" borderId="22" xfId="0" applyFill="1" applyBorder="1" applyAlignment="1">
      <alignment vertical="center" shrinkToFit="1"/>
    </xf>
    <xf numFmtId="0" fontId="0" fillId="2" borderId="37" xfId="0" applyFill="1" applyBorder="1" applyAlignment="1">
      <alignment horizontal="left" vertical="center" shrinkToFit="1"/>
    </xf>
    <xf numFmtId="0" fontId="30" fillId="2" borderId="38" xfId="0" applyFont="1" applyFill="1" applyBorder="1" applyAlignment="1">
      <alignment vertical="center"/>
    </xf>
    <xf numFmtId="0" fontId="29" fillId="2" borderId="0" xfId="0" applyFont="1" applyFill="1" applyAlignment="1">
      <alignment horizontal="center" vertical="center"/>
    </xf>
    <xf numFmtId="0" fontId="29" fillId="2" borderId="0" xfId="0" applyFont="1" applyFill="1" applyAlignment="1">
      <alignment vertical="center"/>
    </xf>
    <xf numFmtId="0" fontId="30" fillId="2" borderId="0" xfId="0" applyFont="1" applyFill="1" applyAlignment="1">
      <alignment vertical="center"/>
    </xf>
    <xf numFmtId="0" fontId="30" fillId="2" borderId="39" xfId="0" applyFont="1" applyFill="1" applyBorder="1" applyAlignment="1"/>
    <xf numFmtId="0" fontId="29" fillId="2" borderId="40" xfId="0" applyFont="1" applyFill="1" applyBorder="1" applyAlignment="1">
      <alignment horizontal="left" vertical="center" shrinkToFit="1"/>
    </xf>
    <xf numFmtId="0" fontId="29" fillId="2" borderId="16" xfId="0" applyFont="1" applyFill="1" applyBorder="1" applyAlignment="1">
      <alignment horizontal="left" vertical="center" shrinkToFit="1"/>
    </xf>
    <xf numFmtId="0" fontId="3" fillId="2" borderId="16" xfId="0" applyFont="1" applyFill="1" applyBorder="1" applyAlignment="1">
      <alignment vertical="center" shrinkToFit="1"/>
    </xf>
    <xf numFmtId="0" fontId="3" fillId="2" borderId="17" xfId="0" applyFont="1" applyFill="1" applyBorder="1" applyAlignment="1">
      <alignment horizontal="left" vertical="center" shrinkToFit="1"/>
    </xf>
    <xf numFmtId="0" fontId="3" fillId="2" borderId="15" xfId="0" applyFont="1" applyFill="1" applyBorder="1" applyAlignment="1">
      <alignment vertical="center" shrinkToFit="1"/>
    </xf>
    <xf numFmtId="0" fontId="3" fillId="2" borderId="17" xfId="0" applyFont="1" applyFill="1" applyBorder="1" applyAlignment="1">
      <alignment vertical="center" shrinkToFit="1"/>
    </xf>
    <xf numFmtId="0" fontId="3" fillId="2" borderId="15" xfId="0" applyFont="1" applyFill="1" applyBorder="1" applyAlignment="1">
      <alignment horizontal="left" vertical="center" shrinkToFit="1"/>
    </xf>
    <xf numFmtId="0" fontId="3" fillId="2" borderId="16" xfId="0" applyFont="1" applyFill="1" applyBorder="1" applyAlignment="1">
      <alignment horizontal="left" vertical="center" shrinkToFit="1"/>
    </xf>
    <xf numFmtId="0" fontId="3" fillId="2" borderId="16" xfId="0" applyFont="1" applyFill="1" applyBorder="1" applyAlignment="1">
      <alignment horizontal="right" vertical="center" shrinkToFit="1"/>
    </xf>
    <xf numFmtId="0" fontId="3" fillId="2" borderId="41" xfId="0" applyFont="1" applyFill="1" applyBorder="1" applyAlignment="1">
      <alignment horizontal="left" vertical="center" shrinkToFit="1"/>
    </xf>
    <xf numFmtId="0" fontId="30" fillId="2" borderId="38" xfId="0" applyFont="1" applyFill="1" applyBorder="1" applyAlignment="1"/>
    <xf numFmtId="0" fontId="30" fillId="2" borderId="0" xfId="0" applyFont="1" applyFill="1" applyAlignment="1"/>
    <xf numFmtId="0" fontId="2" fillId="2" borderId="36" xfId="0" applyFont="1" applyFill="1" applyBorder="1" applyAlignment="1">
      <alignment horizontal="left" vertical="center" wrapText="1" shrinkToFit="1"/>
    </xf>
    <xf numFmtId="0" fontId="3" fillId="2" borderId="40" xfId="0" applyFont="1" applyFill="1" applyBorder="1" applyAlignment="1">
      <alignment horizontal="left" vertical="center" shrinkToFit="1"/>
    </xf>
    <xf numFmtId="0" fontId="2" fillId="2" borderId="20" xfId="0" applyNumberFormat="1" applyFont="1" applyFill="1" applyBorder="1" applyAlignment="1">
      <alignment horizontal="left" vertical="center" shrinkToFit="1"/>
    </xf>
    <xf numFmtId="0" fontId="2" fillId="2" borderId="20" xfId="0" applyFont="1" applyFill="1" applyBorder="1" applyAlignment="1">
      <alignment horizontal="left" vertical="center" shrinkToFit="1"/>
    </xf>
    <xf numFmtId="0" fontId="2" fillId="2" borderId="21" xfId="0" applyFont="1" applyFill="1" applyBorder="1" applyAlignment="1">
      <alignment horizontal="right" vertical="center" shrinkToFit="1"/>
    </xf>
    <xf numFmtId="0" fontId="29" fillId="2" borderId="38" xfId="0" applyFont="1" applyFill="1" applyBorder="1" applyAlignment="1"/>
    <xf numFmtId="0" fontId="29" fillId="2" borderId="15" xfId="0" applyFont="1" applyFill="1" applyBorder="1" applyAlignment="1">
      <alignment vertical="center" shrinkToFit="1"/>
    </xf>
    <xf numFmtId="0" fontId="29" fillId="2" borderId="38" xfId="0" applyFont="1" applyFill="1" applyBorder="1" applyAlignment="1">
      <alignment vertical="center"/>
    </xf>
    <xf numFmtId="0" fontId="24" fillId="2" borderId="20" xfId="0" applyFont="1" applyFill="1" applyBorder="1" applyAlignment="1">
      <alignment horizontal="left" vertical="center" shrinkToFit="1"/>
    </xf>
    <xf numFmtId="0" fontId="24" fillId="2" borderId="22" xfId="0" applyFont="1" applyFill="1" applyBorder="1" applyAlignment="1">
      <alignment horizontal="left" vertical="center" shrinkToFit="1"/>
    </xf>
    <xf numFmtId="0" fontId="3" fillId="2" borderId="6" xfId="0" applyFont="1" applyFill="1" applyBorder="1" applyAlignment="1">
      <alignment vertical="center" shrinkToFit="1"/>
    </xf>
    <xf numFmtId="0" fontId="3" fillId="2" borderId="11" xfId="0" applyFont="1" applyFill="1" applyBorder="1" applyAlignment="1">
      <alignment vertical="center" shrinkToFit="1"/>
    </xf>
    <xf numFmtId="0" fontId="3" fillId="2" borderId="15" xfId="0" applyFont="1" applyFill="1" applyBorder="1" applyAlignment="1">
      <alignment horizontal="right" vertical="center" shrinkToFit="1"/>
    </xf>
    <xf numFmtId="0" fontId="3" fillId="2" borderId="16" xfId="0" applyFont="1" applyFill="1" applyBorder="1" applyAlignment="1">
      <alignment horizontal="center" vertical="center" shrinkToFit="1"/>
    </xf>
    <xf numFmtId="0" fontId="3" fillId="2" borderId="41" xfId="0" applyFont="1" applyFill="1" applyBorder="1" applyAlignment="1">
      <alignment horizontal="center" vertical="center" shrinkToFit="1"/>
    </xf>
    <xf numFmtId="0" fontId="30" fillId="2" borderId="42" xfId="0" applyFont="1" applyFill="1" applyBorder="1" applyAlignment="1"/>
    <xf numFmtId="0" fontId="30" fillId="2" borderId="43" xfId="0" applyFont="1" applyFill="1" applyBorder="1" applyAlignment="1"/>
    <xf numFmtId="0" fontId="30" fillId="2" borderId="44" xfId="0" applyFont="1" applyFill="1" applyBorder="1" applyAlignment="1"/>
    <xf numFmtId="0" fontId="2" fillId="2" borderId="5" xfId="0" applyFont="1" applyFill="1" applyBorder="1" applyAlignment="1">
      <alignment horizontal="left" vertical="center" shrinkToFit="1"/>
    </xf>
    <xf numFmtId="0" fontId="2" fillId="2" borderId="37" xfId="0" applyFont="1" applyFill="1" applyBorder="1" applyAlignment="1">
      <alignment horizontal="left" vertical="center" shrinkToFit="1"/>
    </xf>
    <xf numFmtId="0" fontId="29" fillId="2" borderId="0" xfId="0" applyFont="1" applyFill="1" applyAlignment="1">
      <alignment horizontal="right" vertical="center"/>
    </xf>
    <xf numFmtId="0" fontId="3" fillId="2" borderId="40" xfId="0" applyFont="1" applyFill="1" applyBorder="1">
      <alignment vertical="center"/>
    </xf>
    <xf numFmtId="0" fontId="3" fillId="2" borderId="16" xfId="0" applyFont="1" applyFill="1" applyBorder="1">
      <alignment vertical="center"/>
    </xf>
    <xf numFmtId="0" fontId="3" fillId="2" borderId="16" xfId="0" applyFont="1" applyFill="1" applyBorder="1" applyAlignment="1">
      <alignment horizontal="left" vertical="center"/>
    </xf>
    <xf numFmtId="0" fontId="3" fillId="2" borderId="41" xfId="0" applyFont="1" applyFill="1" applyBorder="1" applyAlignment="1">
      <alignment horizontal="left" vertical="center"/>
    </xf>
    <xf numFmtId="0" fontId="29" fillId="2" borderId="42" xfId="0" applyFont="1" applyFill="1" applyBorder="1" applyAlignment="1">
      <alignment horizontal="right" vertical="center"/>
    </xf>
    <xf numFmtId="0" fontId="29" fillId="2" borderId="43" xfId="0" applyFont="1" applyFill="1" applyBorder="1" applyAlignment="1">
      <alignment horizontal="right" vertical="center"/>
    </xf>
    <xf numFmtId="0" fontId="29" fillId="2" borderId="43" xfId="0" applyFont="1" applyFill="1" applyBorder="1" applyAlignment="1">
      <alignment horizontal="left" vertical="center"/>
    </xf>
    <xf numFmtId="0" fontId="29" fillId="2" borderId="44" xfId="0" applyFont="1" applyFill="1" applyBorder="1" applyAlignment="1">
      <alignment horizontal="left" vertical="center"/>
    </xf>
    <xf numFmtId="0" fontId="3" fillId="2" borderId="38" xfId="0" applyFont="1" applyFill="1" applyBorder="1">
      <alignment vertical="center"/>
    </xf>
    <xf numFmtId="0" fontId="3" fillId="2" borderId="0" xfId="0" applyFont="1" applyFill="1" applyBorder="1">
      <alignment vertical="center"/>
    </xf>
    <xf numFmtId="0" fontId="3" fillId="2" borderId="0" xfId="0" applyFont="1" applyFill="1" applyBorder="1" applyAlignment="1">
      <alignment horizontal="left" vertical="center"/>
    </xf>
    <xf numFmtId="0" fontId="3" fillId="2" borderId="39" xfId="0" applyFont="1" applyFill="1" applyBorder="1" applyAlignment="1">
      <alignment horizontal="left" vertical="center"/>
    </xf>
    <xf numFmtId="0" fontId="3" fillId="2" borderId="0" xfId="0" applyFont="1" applyFill="1" applyAlignment="1">
      <alignment horizontal="right" vertical="center"/>
    </xf>
    <xf numFmtId="0" fontId="31" fillId="2" borderId="0" xfId="6" applyFont="1" applyFill="1" applyAlignment="1">
      <alignment horizontal="left" vertical="center"/>
    </xf>
    <xf numFmtId="0" fontId="26" fillId="2" borderId="0" xfId="6" applyFill="1" applyAlignment="1">
      <alignment horizontal="left" vertical="center"/>
    </xf>
    <xf numFmtId="0" fontId="0" fillId="2" borderId="0" xfId="0" applyFill="1" applyAlignment="1">
      <alignment horizontal="left" vertical="center"/>
    </xf>
    <xf numFmtId="0" fontId="0" fillId="2" borderId="39" xfId="0" applyFill="1" applyBorder="1" applyAlignment="1">
      <alignment horizontal="left" vertical="center"/>
    </xf>
    <xf numFmtId="0" fontId="0" fillId="2" borderId="38" xfId="0" applyFill="1" applyBorder="1" applyAlignment="1">
      <alignment horizontal="left" vertical="center"/>
    </xf>
    <xf numFmtId="0" fontId="0" fillId="2" borderId="0" xfId="0" applyFill="1" applyBorder="1" applyAlignment="1">
      <alignment horizontal="left" vertical="center"/>
    </xf>
    <xf numFmtId="0" fontId="0" fillId="2" borderId="0" xfId="0" applyFont="1" applyFill="1" applyBorder="1" applyAlignment="1">
      <alignment horizontal="right" vertical="center"/>
    </xf>
    <xf numFmtId="0" fontId="3" fillId="2" borderId="0" xfId="0" applyFont="1" applyFill="1" applyBorder="1" applyAlignment="1">
      <alignment horizontal="left" vertical="center" wrapText="1"/>
    </xf>
    <xf numFmtId="0" fontId="3" fillId="2" borderId="45" xfId="0" applyFont="1" applyFill="1" applyBorder="1">
      <alignment vertical="center"/>
    </xf>
    <xf numFmtId="0" fontId="0" fillId="2" borderId="32" xfId="0" applyFill="1" applyBorder="1">
      <alignment vertical="center"/>
    </xf>
    <xf numFmtId="0" fontId="0" fillId="2" borderId="35" xfId="0" applyFill="1" applyBorder="1">
      <alignment vertical="center"/>
    </xf>
    <xf numFmtId="0" fontId="29" fillId="2" borderId="0" xfId="0" applyFont="1" applyFill="1" applyAlignment="1">
      <alignment horizontal="left" vertical="center"/>
    </xf>
    <xf numFmtId="0" fontId="32" fillId="2" borderId="46" xfId="0" applyFont="1" applyFill="1" applyBorder="1">
      <alignment vertical="center"/>
    </xf>
    <xf numFmtId="0" fontId="32" fillId="2" borderId="47" xfId="0" applyFont="1" applyFill="1" applyBorder="1">
      <alignment vertical="center"/>
    </xf>
    <xf numFmtId="0" fontId="32" fillId="2" borderId="13" xfId="0" applyFont="1" applyFill="1" applyBorder="1" applyAlignment="1">
      <alignment horizontal="left" vertical="center"/>
    </xf>
    <xf numFmtId="0" fontId="32" fillId="2" borderId="48" xfId="0" applyFont="1" applyFill="1" applyBorder="1" applyAlignment="1">
      <alignment horizontal="right" vertical="center"/>
    </xf>
    <xf numFmtId="0" fontId="32" fillId="2" borderId="47" xfId="0" applyFont="1" applyFill="1" applyBorder="1" applyAlignment="1">
      <alignment horizontal="right" vertical="center"/>
    </xf>
    <xf numFmtId="0" fontId="4" fillId="2" borderId="49" xfId="0" applyFont="1" applyFill="1" applyBorder="1">
      <alignment vertical="center"/>
    </xf>
    <xf numFmtId="0" fontId="33" fillId="2" borderId="47" xfId="0" applyFont="1" applyFill="1" applyBorder="1" applyAlignment="1">
      <alignment horizontal="center" vertical="center"/>
    </xf>
    <xf numFmtId="0" fontId="33" fillId="2" borderId="50" xfId="0" applyFont="1" applyFill="1" applyBorder="1" applyAlignment="1">
      <alignment horizontal="center" vertical="center"/>
    </xf>
    <xf numFmtId="0" fontId="5" fillId="2" borderId="50" xfId="0" applyFont="1" applyFill="1" applyBorder="1" applyAlignment="1">
      <alignment horizontal="center" vertical="center" shrinkToFit="1"/>
    </xf>
    <xf numFmtId="0" fontId="5" fillId="2" borderId="45" xfId="0" applyFont="1" applyFill="1" applyBorder="1" applyAlignment="1">
      <alignment horizontal="center" vertical="center" shrinkToFit="1"/>
    </xf>
    <xf numFmtId="0" fontId="3" fillId="2" borderId="20" xfId="0" applyFont="1" applyFill="1" applyBorder="1" applyAlignment="1">
      <alignment horizontal="center" vertical="center"/>
    </xf>
    <xf numFmtId="0" fontId="29" fillId="2" borderId="21" xfId="0" applyFont="1" applyFill="1" applyBorder="1" applyAlignment="1">
      <alignment horizontal="center" vertical="center"/>
    </xf>
    <xf numFmtId="0" fontId="3" fillId="2" borderId="21"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39" xfId="0" applyFont="1" applyFill="1" applyBorder="1" applyAlignment="1">
      <alignment horizontal="center" vertical="center" shrinkToFit="1"/>
    </xf>
    <xf numFmtId="0" fontId="3" fillId="2" borderId="51" xfId="0" applyFont="1" applyFill="1" applyBorder="1" applyAlignment="1">
      <alignment horizontal="center" vertical="center" shrinkToFit="1"/>
    </xf>
    <xf numFmtId="0" fontId="0" fillId="2" borderId="18" xfId="0" applyFill="1" applyBorder="1" applyAlignment="1">
      <alignment horizontal="center" vertical="center" shrinkToFit="1"/>
    </xf>
    <xf numFmtId="0" fontId="0" fillId="2" borderId="0" xfId="0" applyFill="1" applyBorder="1" applyAlignment="1">
      <alignment horizontal="left" vertical="center" shrinkToFit="1"/>
    </xf>
    <xf numFmtId="0" fontId="0" fillId="2" borderId="0" xfId="0" applyFill="1" applyBorder="1" applyAlignment="1">
      <alignment horizontal="center" vertical="center" shrinkToFit="1"/>
    </xf>
    <xf numFmtId="0" fontId="0" fillId="2" borderId="0" xfId="0" applyFill="1" applyBorder="1" applyAlignment="1">
      <alignment vertical="center" shrinkToFit="1"/>
    </xf>
    <xf numFmtId="0" fontId="0" fillId="2" borderId="0" xfId="0" applyFill="1" applyAlignment="1">
      <alignment horizontal="right" vertical="center" shrinkToFit="1"/>
    </xf>
    <xf numFmtId="0" fontId="0" fillId="2" borderId="0" xfId="0" applyFill="1" applyAlignment="1">
      <alignment horizontal="center" vertical="center" shrinkToFit="1"/>
    </xf>
    <xf numFmtId="0" fontId="2" fillId="2" borderId="0" xfId="0" applyFont="1" applyFill="1" applyAlignment="1">
      <alignment horizontal="center" vertical="center" shrinkToFit="1"/>
    </xf>
    <xf numFmtId="0" fontId="0" fillId="2" borderId="19" xfId="0" applyFill="1" applyBorder="1" applyAlignment="1">
      <alignment vertical="center" shrinkToFit="1"/>
    </xf>
    <xf numFmtId="0" fontId="0" fillId="2" borderId="7" xfId="0" applyFill="1" applyBorder="1" applyAlignment="1">
      <alignment horizontal="center" vertical="center" shrinkToFit="1"/>
    </xf>
    <xf numFmtId="0" fontId="0" fillId="2" borderId="11" xfId="0" applyFill="1" applyBorder="1" applyAlignment="1">
      <alignment horizontal="center" vertical="center" shrinkToFit="1"/>
    </xf>
    <xf numFmtId="0" fontId="23" fillId="2" borderId="0" xfId="0" applyFont="1" applyFill="1" applyAlignment="1">
      <alignment horizontal="left" vertical="center" shrinkToFit="1"/>
    </xf>
    <xf numFmtId="0" fontId="3" fillId="2" borderId="0" xfId="0" applyFont="1" applyFill="1" applyAlignment="1">
      <alignment horizontal="center" vertical="center" wrapText="1" shrinkToFit="1"/>
    </xf>
    <xf numFmtId="0" fontId="0" fillId="2" borderId="0" xfId="0" applyFill="1" applyAlignment="1">
      <alignment vertical="center" shrinkToFit="1"/>
    </xf>
    <xf numFmtId="0" fontId="0" fillId="2" borderId="6" xfId="0" applyFill="1" applyBorder="1" applyAlignment="1">
      <alignment horizontal="center" vertical="center" shrinkToFit="1"/>
    </xf>
    <xf numFmtId="0" fontId="3" fillId="2" borderId="20" xfId="0" applyFont="1" applyFill="1" applyBorder="1" applyAlignment="1">
      <alignment horizontal="center" vertical="center" shrinkToFit="1"/>
    </xf>
    <xf numFmtId="0" fontId="3" fillId="2" borderId="21" xfId="0" applyFont="1" applyFill="1" applyBorder="1" applyAlignment="1">
      <alignment horizontal="center" vertical="center" wrapText="1" shrinkToFit="1"/>
    </xf>
    <xf numFmtId="0" fontId="0" fillId="2" borderId="21" xfId="0" applyNumberFormat="1" applyFill="1" applyBorder="1" applyAlignment="1">
      <alignment vertical="center" shrinkToFit="1"/>
    </xf>
    <xf numFmtId="0" fontId="0" fillId="2" borderId="21" xfId="0" applyFill="1" applyBorder="1" applyAlignment="1">
      <alignment vertical="center" shrinkToFit="1"/>
    </xf>
    <xf numFmtId="0" fontId="0" fillId="2" borderId="21" xfId="0" applyFill="1" applyBorder="1" applyAlignment="1">
      <alignment horizontal="center" vertical="center" shrinkToFit="1"/>
    </xf>
    <xf numFmtId="0" fontId="34" fillId="2" borderId="0" xfId="0" applyFont="1" applyFill="1">
      <alignment vertical="center"/>
    </xf>
    <xf numFmtId="0" fontId="0" fillId="2" borderId="5" xfId="0" applyFill="1" applyBorder="1" applyAlignment="1">
      <alignment horizontal="center" vertical="center" shrinkToFit="1"/>
    </xf>
    <xf numFmtId="0" fontId="35" fillId="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CC0000"/>
      <color rgb="00969696"/>
      <color rgb="00333399"/>
      <color rgb="00800080"/>
      <color rgb="000000FF"/>
      <color rgb="00C0C0C0"/>
      <color rgb="00FF000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24</xdr:col>
      <xdr:colOff>143510</xdr:colOff>
      <xdr:row>16</xdr:row>
      <xdr:rowOff>161925</xdr:rowOff>
    </xdr:from>
    <xdr:to>
      <xdr:col>35</xdr:col>
      <xdr:colOff>361950</xdr:colOff>
      <xdr:row>33</xdr:row>
      <xdr:rowOff>104775</xdr:rowOff>
    </xdr:to>
    <xdr:pic>
      <xdr:nvPicPr>
        <xdr:cNvPr id="173552" name="图片 1"/>
        <xdr:cNvPicPr>
          <a:picLocks noChangeAspect="1"/>
        </xdr:cNvPicPr>
      </xdr:nvPicPr>
      <xdr:blipFill>
        <a:blip r:embed="rId1"/>
        <a:stretch>
          <a:fillRect/>
        </a:stretch>
      </xdr:blipFill>
      <xdr:spPr>
        <a:xfrm>
          <a:off x="15678785" y="3095625"/>
          <a:ext cx="9190990" cy="30003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114300</xdr:colOff>
      <xdr:row>0</xdr:row>
      <xdr:rowOff>19050</xdr:rowOff>
    </xdr:from>
    <xdr:to>
      <xdr:col>19</xdr:col>
      <xdr:colOff>561975</xdr:colOff>
      <xdr:row>45</xdr:row>
      <xdr:rowOff>63500</xdr:rowOff>
    </xdr:to>
    <xdr:pic>
      <xdr:nvPicPr>
        <xdr:cNvPr id="24513" name="图片 1" descr="MINM9TB(6DQB{[LH}I[D653"/>
        <xdr:cNvPicPr>
          <a:picLocks noChangeAspect="1"/>
        </xdr:cNvPicPr>
      </xdr:nvPicPr>
      <xdr:blipFill>
        <a:blip r:embed="rId1"/>
        <a:stretch>
          <a:fillRect/>
        </a:stretch>
      </xdr:blipFill>
      <xdr:spPr>
        <a:xfrm>
          <a:off x="13192125" y="19050"/>
          <a:ext cx="7305675" cy="840105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7</xdr:col>
      <xdr:colOff>9525</xdr:colOff>
      <xdr:row>8</xdr:row>
      <xdr:rowOff>0</xdr:rowOff>
    </xdr:from>
    <xdr:to>
      <xdr:col>8</xdr:col>
      <xdr:colOff>733425</xdr:colOff>
      <xdr:row>8</xdr:row>
      <xdr:rowOff>66675</xdr:rowOff>
    </xdr:to>
    <xdr:sp>
      <xdr:nvSpPr>
        <xdr:cNvPr id="117239" name="Line 1033"/>
        <xdr:cNvSpPr/>
      </xdr:nvSpPr>
      <xdr:spPr>
        <a:xfrm rot="-180000">
          <a:off x="6705600" y="1804035"/>
          <a:ext cx="1171575" cy="66675"/>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7</xdr:col>
      <xdr:colOff>0</xdr:colOff>
      <xdr:row>10</xdr:row>
      <xdr:rowOff>0</xdr:rowOff>
    </xdr:from>
    <xdr:to>
      <xdr:col>8</xdr:col>
      <xdr:colOff>723900</xdr:colOff>
      <xdr:row>10</xdr:row>
      <xdr:rowOff>0</xdr:rowOff>
    </xdr:to>
    <xdr:sp>
      <xdr:nvSpPr>
        <xdr:cNvPr id="117240" name="Line 1034"/>
        <xdr:cNvSpPr/>
      </xdr:nvSpPr>
      <xdr:spPr>
        <a:xfrm>
          <a:off x="6696075" y="2185035"/>
          <a:ext cx="1171575" cy="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7</xdr:col>
      <xdr:colOff>57150</xdr:colOff>
      <xdr:row>6</xdr:row>
      <xdr:rowOff>0</xdr:rowOff>
    </xdr:from>
    <xdr:to>
      <xdr:col>8</xdr:col>
      <xdr:colOff>781050</xdr:colOff>
      <xdr:row>6</xdr:row>
      <xdr:rowOff>66675</xdr:rowOff>
    </xdr:to>
    <xdr:sp>
      <xdr:nvSpPr>
        <xdr:cNvPr id="117241" name="Line 1033"/>
        <xdr:cNvSpPr/>
      </xdr:nvSpPr>
      <xdr:spPr>
        <a:xfrm rot="-180000">
          <a:off x="6753225" y="1498600"/>
          <a:ext cx="1171575" cy="66675"/>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7</xdr:col>
      <xdr:colOff>19050</xdr:colOff>
      <xdr:row>12</xdr:row>
      <xdr:rowOff>28575</xdr:rowOff>
    </xdr:from>
    <xdr:to>
      <xdr:col>8</xdr:col>
      <xdr:colOff>742950</xdr:colOff>
      <xdr:row>12</xdr:row>
      <xdr:rowOff>28575</xdr:rowOff>
    </xdr:to>
    <xdr:sp>
      <xdr:nvSpPr>
        <xdr:cNvPr id="117242" name="Line 1034"/>
        <xdr:cNvSpPr/>
      </xdr:nvSpPr>
      <xdr:spPr>
        <a:xfrm>
          <a:off x="6715125" y="2511425"/>
          <a:ext cx="1171575" cy="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19050</xdr:colOff>
      <xdr:row>47</xdr:row>
      <xdr:rowOff>95250</xdr:rowOff>
    </xdr:from>
    <xdr:to>
      <xdr:col>1</xdr:col>
      <xdr:colOff>704850</xdr:colOff>
      <xdr:row>48</xdr:row>
      <xdr:rowOff>47625</xdr:rowOff>
    </xdr:to>
    <xdr:pic>
      <xdr:nvPicPr>
        <xdr:cNvPr id="98055" name="图片 7"/>
        <xdr:cNvPicPr>
          <a:picLocks noChangeAspect="1"/>
        </xdr:cNvPicPr>
      </xdr:nvPicPr>
      <xdr:blipFill>
        <a:blip r:embed="rId1"/>
        <a:stretch>
          <a:fillRect/>
        </a:stretch>
      </xdr:blipFill>
      <xdr:spPr>
        <a:xfrm>
          <a:off x="238125" y="8591550"/>
          <a:ext cx="685800" cy="245745"/>
        </a:xfrm>
        <a:prstGeom prst="rect">
          <a:avLst/>
        </a:prstGeom>
        <a:noFill/>
        <a:ln w="9525">
          <a:noFill/>
        </a:ln>
      </xdr:spPr>
    </xdr:pic>
    <xdr:clientData/>
  </xdr:twoCellAnchor>
  <xdr:twoCellAnchor>
    <xdr:from>
      <xdr:col>6</xdr:col>
      <xdr:colOff>428625</xdr:colOff>
      <xdr:row>4</xdr:row>
      <xdr:rowOff>0</xdr:rowOff>
    </xdr:from>
    <xdr:to>
      <xdr:col>8</xdr:col>
      <xdr:colOff>114300</xdr:colOff>
      <xdr:row>5</xdr:row>
      <xdr:rowOff>19050</xdr:rowOff>
    </xdr:to>
    <xdr:pic>
      <xdr:nvPicPr>
        <xdr:cNvPr id="98056" name="图片 8"/>
        <xdr:cNvPicPr>
          <a:picLocks noChangeAspect="1"/>
        </xdr:cNvPicPr>
      </xdr:nvPicPr>
      <xdr:blipFill>
        <a:blip r:embed="rId2"/>
        <a:stretch>
          <a:fillRect/>
        </a:stretch>
      </xdr:blipFill>
      <xdr:spPr>
        <a:xfrm>
          <a:off x="3857625" y="685800"/>
          <a:ext cx="1714500" cy="20002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Y182"/>
  <sheetViews>
    <sheetView showZeros="0" view="pageBreakPreview" zoomScaleNormal="100" topLeftCell="A159" workbookViewId="0">
      <selection activeCell="H130" sqref="H130"/>
    </sheetView>
  </sheetViews>
  <sheetFormatPr defaultColWidth="9" defaultRowHeight="14.25"/>
  <cols>
    <col min="1" max="3" width="9.25" style="1" customWidth="1"/>
    <col min="4" max="4" width="18.625" style="1" customWidth="1"/>
    <col min="5" max="5" width="10.875" style="1" customWidth="1"/>
    <col min="6" max="6" width="12.375" style="1" customWidth="1"/>
    <col min="7" max="7" width="11" style="1" customWidth="1"/>
    <col min="8" max="8" width="6.75" style="1" customWidth="1"/>
    <col min="9" max="9" width="7.875" style="263" customWidth="1"/>
    <col min="10" max="10" width="7.125" style="1" customWidth="1"/>
    <col min="11" max="11" width="7.625" style="1" customWidth="1"/>
    <col min="12" max="12" width="5.375" style="1" customWidth="1"/>
    <col min="13" max="13" width="5.25" style="1" customWidth="1"/>
    <col min="14" max="14" width="5.125" style="1" customWidth="1"/>
    <col min="15" max="15" width="7.25" style="1" customWidth="1"/>
    <col min="16" max="16" width="4.125" style="1" customWidth="1"/>
    <col min="17" max="17" width="6.25" style="1" customWidth="1"/>
    <col min="18" max="18" width="7.625" style="1" customWidth="1"/>
    <col min="19" max="19" width="8.5" style="1" customWidth="1"/>
    <col min="20" max="20" width="8.25" style="1" customWidth="1"/>
    <col min="21" max="21" width="7.75" style="1" customWidth="1"/>
    <col min="22" max="22" width="10.375" style="1" customWidth="1"/>
    <col min="23" max="25" width="9" style="1"/>
    <col min="26" max="26" width="12.625" style="1" customWidth="1"/>
    <col min="27" max="27" width="24.125" style="1" customWidth="1"/>
    <col min="28" max="16384" width="9" style="1"/>
  </cols>
  <sheetData>
    <row r="1" ht="33" customHeight="1" spans="1:28">
      <c r="A1" s="264" t="s">
        <v>0</v>
      </c>
      <c r="B1" s="264"/>
      <c r="C1" s="264"/>
      <c r="D1" s="264"/>
      <c r="E1" s="264"/>
      <c r="F1" s="264"/>
      <c r="G1" s="264"/>
      <c r="H1" s="264"/>
      <c r="I1" s="265"/>
      <c r="J1" s="264"/>
      <c r="K1" s="264"/>
      <c r="L1" s="264"/>
      <c r="M1" s="264"/>
      <c r="N1" s="264"/>
      <c r="O1" s="264"/>
      <c r="P1" s="264"/>
      <c r="Q1" s="264"/>
      <c r="R1" s="264"/>
      <c r="S1" s="264"/>
    </row>
    <row r="2" s="4" customFormat="1" ht="12.75" spans="1:28">
      <c r="A2" s="266" t="s">
        <v>1</v>
      </c>
      <c r="B2" s="266"/>
      <c r="C2" s="267"/>
      <c r="D2" s="267"/>
      <c r="E2" s="267"/>
      <c r="F2" s="266" t="s">
        <v>2</v>
      </c>
      <c r="G2" s="267"/>
      <c r="H2" s="267"/>
      <c r="I2" s="266" t="s">
        <v>3</v>
      </c>
      <c r="J2" s="267"/>
      <c r="K2" s="267"/>
      <c r="L2" s="267"/>
      <c r="M2" s="267"/>
      <c r="N2" s="267"/>
      <c r="O2" s="268"/>
      <c r="P2" s="268"/>
      <c r="Q2" s="268"/>
      <c r="R2" s="268"/>
      <c r="S2" s="268"/>
    </row>
    <row r="3" s="4" customFormat="1" ht="12" spans="1:28">
      <c r="A3" s="269" t="s">
        <v>4</v>
      </c>
      <c r="B3" s="270"/>
      <c r="C3" s="270"/>
      <c r="D3" s="271"/>
      <c r="E3" s="272" t="s">
        <v>5</v>
      </c>
      <c r="F3" s="273" t="s">
        <v>6</v>
      </c>
      <c r="G3" s="274" t="s">
        <v>7</v>
      </c>
      <c r="H3" s="270"/>
      <c r="I3" s="275"/>
      <c r="J3" s="271"/>
      <c r="K3" s="274" t="s">
        <v>8</v>
      </c>
      <c r="L3" s="270"/>
      <c r="M3" s="270"/>
      <c r="N3" s="271"/>
      <c r="O3" s="274" t="s">
        <v>9</v>
      </c>
      <c r="P3" s="270"/>
      <c r="Q3" s="270"/>
      <c r="R3" s="270"/>
      <c r="S3" s="276"/>
      <c r="U3" s="277" t="s">
        <v>10</v>
      </c>
      <c r="V3" s="278" t="s">
        <v>11</v>
      </c>
      <c r="W3" s="279"/>
      <c r="X3" s="279"/>
      <c r="Y3" s="279"/>
      <c r="Z3" s="279"/>
      <c r="AA3" s="280"/>
    </row>
    <row r="4" spans="1:28">
      <c r="A4" s="281" t="s">
        <v>12</v>
      </c>
      <c r="B4" s="282"/>
      <c r="C4" s="282"/>
      <c r="D4" s="283"/>
      <c r="E4" s="284"/>
      <c r="F4" s="285"/>
      <c r="G4" s="284"/>
      <c r="H4" s="286"/>
      <c r="I4" s="287"/>
      <c r="J4" s="288"/>
      <c r="K4" s="284"/>
      <c r="L4" s="286"/>
      <c r="M4" s="286"/>
      <c r="N4" s="285"/>
      <c r="O4" s="284"/>
      <c r="P4" s="286"/>
      <c r="Q4" s="286"/>
      <c r="R4" s="286"/>
      <c r="S4" s="289"/>
      <c r="U4" s="290" t="s">
        <v>13</v>
      </c>
      <c r="V4" s="291" t="str">
        <f>I12</f>
        <v>FOB</v>
      </c>
      <c r="W4" s="292" t="s">
        <v>14</v>
      </c>
      <c r="X4" s="293" t="s">
        <v>15</v>
      </c>
      <c r="Y4" s="292" t="s">
        <v>16</v>
      </c>
      <c r="Z4" s="293"/>
      <c r="AA4" s="294"/>
    </row>
    <row r="5" s="4" customFormat="1" ht="12" spans="1:28">
      <c r="A5" s="295" t="s">
        <v>17</v>
      </c>
      <c r="B5" s="296"/>
      <c r="C5" s="297" t="s">
        <v>18</v>
      </c>
      <c r="D5" s="298"/>
      <c r="E5" s="299" t="s">
        <v>19</v>
      </c>
      <c r="F5" s="300" t="s">
        <v>20</v>
      </c>
      <c r="G5" s="301" t="s">
        <v>21</v>
      </c>
      <c r="H5" s="302"/>
      <c r="I5" s="303"/>
      <c r="J5" s="298"/>
      <c r="K5" s="299" t="s">
        <v>22</v>
      </c>
      <c r="L5" s="302"/>
      <c r="M5" s="302"/>
      <c r="N5" s="298"/>
      <c r="O5" s="301"/>
      <c r="P5" s="302"/>
      <c r="Q5" s="302"/>
      <c r="R5" s="302"/>
      <c r="S5" s="304"/>
      <c r="U5" s="305" t="s">
        <v>23</v>
      </c>
      <c r="V5" s="306" t="str">
        <f>A4</f>
        <v>深圳市新棱镜贸易有限公司</v>
      </c>
      <c r="W5" s="306"/>
      <c r="X5" s="306"/>
      <c r="Y5" s="306"/>
      <c r="Z5" s="306"/>
      <c r="AA5" s="294"/>
    </row>
    <row r="6" spans="1:28">
      <c r="A6" s="307" t="s">
        <v>24</v>
      </c>
      <c r="B6" s="282"/>
      <c r="C6" s="282"/>
      <c r="D6" s="283"/>
      <c r="E6" s="284" t="s">
        <v>25</v>
      </c>
      <c r="F6" s="285"/>
      <c r="G6" s="284"/>
      <c r="H6" s="286"/>
      <c r="I6" s="287"/>
      <c r="J6" s="285"/>
      <c r="K6" s="284"/>
      <c r="L6" s="286"/>
      <c r="M6" s="286"/>
      <c r="N6" s="285"/>
      <c r="O6" s="284"/>
      <c r="P6" s="286"/>
      <c r="Q6" s="286"/>
      <c r="R6" s="286"/>
      <c r="S6" s="289"/>
      <c r="U6" s="305" t="s">
        <v>26</v>
      </c>
      <c r="V6" s="306" t="s">
        <v>27</v>
      </c>
      <c r="W6" s="306"/>
      <c r="X6" s="306"/>
      <c r="Y6" s="306"/>
      <c r="Z6" s="306"/>
      <c r="AA6" s="294"/>
    </row>
    <row r="7" s="4" customFormat="1" ht="12" spans="1:28">
      <c r="A7" s="308" t="s">
        <v>28</v>
      </c>
      <c r="B7" s="302"/>
      <c r="C7" s="302">
        <f>C3</f>
        <v>0</v>
      </c>
      <c r="D7" s="298"/>
      <c r="E7" s="299" t="s">
        <v>29</v>
      </c>
      <c r="F7" s="300" t="s">
        <v>20</v>
      </c>
      <c r="G7" s="299" t="s">
        <v>30</v>
      </c>
      <c r="H7" s="302" t="s">
        <v>20</v>
      </c>
      <c r="I7" s="303"/>
      <c r="J7" s="298"/>
      <c r="K7" s="299" t="s">
        <v>31</v>
      </c>
      <c r="L7" s="302"/>
      <c r="M7" s="302"/>
      <c r="N7" s="298"/>
      <c r="O7" s="299"/>
      <c r="P7" s="302"/>
      <c r="Q7" s="302"/>
      <c r="R7" s="302"/>
      <c r="S7" s="304"/>
      <c r="U7" s="290" t="s">
        <v>32</v>
      </c>
      <c r="V7" s="293">
        <v>18823202180</v>
      </c>
      <c r="W7" s="293"/>
      <c r="X7" s="293" t="s">
        <v>33</v>
      </c>
      <c r="Y7" s="293"/>
      <c r="Z7" s="306"/>
      <c r="AA7" s="294"/>
    </row>
    <row r="8" spans="1:28">
      <c r="A8" s="281" t="s">
        <v>12</v>
      </c>
      <c r="B8" s="282"/>
      <c r="C8" s="282"/>
      <c r="D8" s="283"/>
      <c r="E8" s="309" t="s">
        <v>34</v>
      </c>
      <c r="F8" s="283"/>
      <c r="G8" s="310" t="s">
        <v>35</v>
      </c>
      <c r="H8" s="282"/>
      <c r="I8" s="311"/>
      <c r="J8" s="288"/>
      <c r="K8" s="284"/>
      <c r="L8" s="286"/>
      <c r="M8" s="286"/>
      <c r="N8" s="285"/>
      <c r="O8" s="284"/>
      <c r="P8" s="286"/>
      <c r="Q8" s="286"/>
      <c r="R8" s="286"/>
      <c r="S8" s="289"/>
      <c r="U8" s="312" t="s">
        <v>36</v>
      </c>
      <c r="V8" s="306" t="s">
        <v>24</v>
      </c>
      <c r="W8" s="306"/>
      <c r="X8" s="306"/>
      <c r="Y8" s="306"/>
      <c r="Z8" s="306"/>
      <c r="AA8" s="294"/>
    </row>
    <row r="9" s="4" customFormat="1" ht="12" spans="1:28">
      <c r="A9" s="308" t="s">
        <v>37</v>
      </c>
      <c r="B9" s="302"/>
      <c r="C9" s="302"/>
      <c r="D9" s="298"/>
      <c r="E9" s="299" t="s">
        <v>38</v>
      </c>
      <c r="F9" s="300" t="s">
        <v>20</v>
      </c>
      <c r="G9" s="299" t="s">
        <v>39</v>
      </c>
      <c r="H9" s="302" t="s">
        <v>20</v>
      </c>
      <c r="I9" s="303"/>
      <c r="J9" s="302"/>
      <c r="K9" s="299" t="s">
        <v>40</v>
      </c>
      <c r="L9" s="302" t="s">
        <v>20</v>
      </c>
      <c r="M9" s="302"/>
      <c r="N9" s="298"/>
      <c r="O9" s="313" t="s">
        <v>41</v>
      </c>
      <c r="P9" s="302" t="s">
        <v>42</v>
      </c>
      <c r="Q9" s="302"/>
      <c r="R9" s="302"/>
      <c r="S9" s="304"/>
      <c r="U9" s="314" t="s">
        <v>43</v>
      </c>
      <c r="V9" s="293" t="s">
        <v>44</v>
      </c>
      <c r="W9" s="293"/>
      <c r="X9" s="293"/>
      <c r="Y9" s="293"/>
      <c r="Z9" s="306"/>
      <c r="AA9" s="294"/>
    </row>
    <row r="10" spans="1:28">
      <c r="A10" s="281">
        <v>2026011202</v>
      </c>
      <c r="B10" s="282"/>
      <c r="C10" s="282"/>
      <c r="D10" s="283"/>
      <c r="E10" s="315" t="s">
        <v>45</v>
      </c>
      <c r="F10" s="316"/>
      <c r="G10" s="284" t="s">
        <v>46</v>
      </c>
      <c r="H10" s="286"/>
      <c r="I10" s="286"/>
      <c r="J10" s="286"/>
      <c r="K10" s="284"/>
      <c r="L10" s="286"/>
      <c r="M10" s="286"/>
      <c r="N10" s="285"/>
      <c r="O10" s="284"/>
      <c r="P10" s="286"/>
      <c r="Q10" s="286"/>
      <c r="R10" s="286"/>
      <c r="S10" s="289"/>
      <c r="U10" s="312" t="s">
        <v>47</v>
      </c>
      <c r="V10" s="306">
        <v>13071079299</v>
      </c>
      <c r="W10" s="306"/>
      <c r="X10" s="306" t="s">
        <v>48</v>
      </c>
      <c r="Y10" s="306"/>
      <c r="Z10" s="306"/>
      <c r="AA10" s="294"/>
    </row>
    <row r="11" s="4" customFormat="1" ht="12.75" spans="1:28">
      <c r="A11" s="308" t="s">
        <v>49</v>
      </c>
      <c r="B11" s="302"/>
      <c r="C11" s="302" t="s">
        <v>50</v>
      </c>
      <c r="D11" s="298"/>
      <c r="E11" s="317" t="s">
        <v>51</v>
      </c>
      <c r="F11" s="318" t="s">
        <v>52</v>
      </c>
      <c r="G11" s="301" t="s">
        <v>53</v>
      </c>
      <c r="H11" s="298"/>
      <c r="I11" s="319" t="s">
        <v>54</v>
      </c>
      <c r="J11" s="297" t="s">
        <v>55</v>
      </c>
      <c r="K11" s="299" t="s">
        <v>56</v>
      </c>
      <c r="L11" s="302"/>
      <c r="M11" s="298"/>
      <c r="N11" s="297" t="s">
        <v>57</v>
      </c>
      <c r="O11" s="302"/>
      <c r="P11" s="298"/>
      <c r="Q11" s="299" t="s">
        <v>58</v>
      </c>
      <c r="R11" s="320"/>
      <c r="S11" s="321"/>
      <c r="U11" s="322" t="s">
        <v>59</v>
      </c>
      <c r="V11" s="323"/>
      <c r="W11" s="323"/>
      <c r="X11" s="323" t="s">
        <v>60</v>
      </c>
      <c r="Y11" s="323"/>
      <c r="Z11" s="323"/>
      <c r="AA11" s="324"/>
    </row>
    <row r="12" spans="1:28">
      <c r="A12" s="281"/>
      <c r="B12" s="282"/>
      <c r="C12" s="282"/>
      <c r="D12" s="283"/>
      <c r="E12" s="325">
        <f>V18</f>
        <v>2</v>
      </c>
      <c r="F12" s="325">
        <f>U18</f>
        <v>39.3000000000001</v>
      </c>
      <c r="G12" s="310">
        <f>T18</f>
        <v>36.0000000000001</v>
      </c>
      <c r="H12" s="283"/>
      <c r="I12" s="310" t="s">
        <v>61</v>
      </c>
      <c r="J12" s="282"/>
      <c r="K12" s="310"/>
      <c r="L12" s="282"/>
      <c r="M12" s="283"/>
      <c r="N12" s="282"/>
      <c r="O12" s="282"/>
      <c r="P12" s="283"/>
      <c r="Q12" s="310"/>
      <c r="R12" s="282"/>
      <c r="S12" s="326"/>
      <c r="T12" s="327" t="s">
        <v>62</v>
      </c>
      <c r="U12" s="327"/>
      <c r="V12" s="327"/>
      <c r="W12" s="65" t="s">
        <v>63</v>
      </c>
      <c r="X12" s="65"/>
      <c r="Y12" s="65"/>
      <c r="Z12" s="65"/>
      <c r="AA12" s="65"/>
      <c r="AB12" s="65"/>
    </row>
    <row r="13" s="4" customFormat="1" ht="12" spans="1:28">
      <c r="A13" s="328" t="s">
        <v>64</v>
      </c>
      <c r="B13" s="329"/>
      <c r="C13" s="330"/>
      <c r="D13" s="330"/>
      <c r="E13" s="330"/>
      <c r="F13" s="330"/>
      <c r="G13" s="330"/>
      <c r="H13" s="330"/>
      <c r="I13" s="330"/>
      <c r="J13" s="330"/>
      <c r="K13" s="330"/>
      <c r="L13" s="330"/>
      <c r="M13" s="330"/>
      <c r="N13" s="330"/>
      <c r="O13" s="330"/>
      <c r="P13" s="330"/>
      <c r="Q13" s="330"/>
      <c r="R13" s="330"/>
      <c r="S13" s="331"/>
      <c r="T13" s="327" t="s">
        <v>65</v>
      </c>
      <c r="U13" s="327"/>
      <c r="V13" s="327"/>
      <c r="W13" s="65" t="s">
        <v>66</v>
      </c>
      <c r="X13" s="65"/>
      <c r="Y13" s="65"/>
      <c r="Z13" s="65"/>
      <c r="AA13" s="65"/>
      <c r="AB13" s="65"/>
    </row>
    <row r="14" s="4" customFormat="1" ht="12.75" spans="1:28">
      <c r="A14" s="332" t="s">
        <v>67</v>
      </c>
      <c r="B14" s="333"/>
      <c r="C14" s="333"/>
      <c r="D14" s="334" t="str">
        <f>A6</f>
        <v>HONG KONG YUN QI LIAN TECHNOLOGY LIMITED</v>
      </c>
      <c r="E14" s="334"/>
      <c r="F14" s="334"/>
      <c r="G14" s="334"/>
      <c r="H14" s="334"/>
      <c r="I14" s="334"/>
      <c r="J14" s="334"/>
      <c r="K14" s="334"/>
      <c r="L14" s="334"/>
      <c r="M14" s="334"/>
      <c r="N14" s="334"/>
      <c r="O14" s="334"/>
      <c r="P14" s="334"/>
      <c r="Q14" s="334"/>
      <c r="R14" s="334"/>
      <c r="S14" s="335"/>
      <c r="T14" s="327" t="s">
        <v>68</v>
      </c>
      <c r="U14" s="327"/>
      <c r="V14" s="327"/>
      <c r="W14" s="65" t="s">
        <v>69</v>
      </c>
      <c r="X14" s="65"/>
      <c r="Y14" s="65"/>
      <c r="Z14" s="65"/>
      <c r="AA14" s="65"/>
      <c r="AB14" s="65"/>
    </row>
    <row r="15" s="4" customFormat="1" ht="13.5" spans="1:28">
      <c r="A15" s="336" t="s">
        <v>70</v>
      </c>
      <c r="B15" s="337"/>
      <c r="C15" s="338" t="s">
        <v>71</v>
      </c>
      <c r="D15" s="338"/>
      <c r="E15" s="338"/>
      <c r="F15" s="338"/>
      <c r="G15" s="338"/>
      <c r="H15" s="338"/>
      <c r="I15" s="338"/>
      <c r="J15" s="338"/>
      <c r="K15" s="338"/>
      <c r="L15" s="338"/>
      <c r="M15" s="338"/>
      <c r="N15" s="338"/>
      <c r="O15" s="338"/>
      <c r="P15" s="338"/>
      <c r="Q15" s="338"/>
      <c r="R15" s="338"/>
      <c r="S15" s="339"/>
      <c r="T15" s="340" t="s">
        <v>72</v>
      </c>
      <c r="U15" s="340"/>
      <c r="V15" s="340"/>
      <c r="W15" s="341" t="s">
        <v>73</v>
      </c>
      <c r="X15" s="342"/>
      <c r="Y15" s="342"/>
      <c r="Z15" s="342"/>
      <c r="AA15" s="342"/>
      <c r="AB15" s="342"/>
    </row>
    <row r="16" ht="15" spans="1:28">
      <c r="A16" s="336" t="s">
        <v>74</v>
      </c>
      <c r="B16" s="343"/>
      <c r="C16" s="343"/>
      <c r="D16" s="343"/>
      <c r="E16" s="343"/>
      <c r="F16" s="343"/>
      <c r="G16" s="343"/>
      <c r="H16" s="343"/>
      <c r="I16" s="343"/>
      <c r="J16" s="343"/>
      <c r="K16" s="343"/>
      <c r="L16" s="343"/>
      <c r="M16" s="343"/>
      <c r="N16" s="343"/>
      <c r="O16" s="343"/>
      <c r="P16" s="343"/>
      <c r="Q16" s="343"/>
      <c r="R16" s="343"/>
      <c r="S16" s="344"/>
      <c r="T16" s="340" t="s">
        <v>75</v>
      </c>
      <c r="U16" s="340"/>
      <c r="V16" s="340"/>
      <c r="W16" s="341" t="s">
        <v>76</v>
      </c>
      <c r="X16" s="342"/>
      <c r="Y16" s="342"/>
      <c r="Z16" s="342"/>
      <c r="AA16" s="342"/>
      <c r="AB16" s="342"/>
    </row>
    <row r="17" ht="15" spans="1:29">
      <c r="A17" s="345"/>
      <c r="B17" s="346"/>
      <c r="C17" s="346"/>
      <c r="D17" s="346"/>
      <c r="E17" s="346"/>
      <c r="F17" s="346"/>
      <c r="G17" s="346"/>
      <c r="H17" s="346"/>
      <c r="I17" s="346"/>
      <c r="J17" s="346"/>
      <c r="K17" s="346"/>
      <c r="L17" s="347" t="s">
        <v>77</v>
      </c>
      <c r="M17" s="347"/>
      <c r="N17" s="347"/>
      <c r="O17" s="348"/>
      <c r="P17" s="338"/>
      <c r="Q17" s="338"/>
      <c r="R17" s="338"/>
      <c r="S17" s="339"/>
      <c r="T17" s="349" t="s">
        <v>78</v>
      </c>
      <c r="U17" s="350"/>
      <c r="V17" s="351"/>
      <c r="W17" s="352" t="s">
        <v>79</v>
      </c>
      <c r="X17" s="65"/>
      <c r="Y17" s="65"/>
      <c r="Z17" s="65"/>
      <c r="AA17" s="65"/>
      <c r="AB17" s="65"/>
      <c r="AC17" s="65"/>
    </row>
    <row r="18" s="6" customFormat="1" spans="1:29">
      <c r="A18" s="353" t="s">
        <v>80</v>
      </c>
      <c r="B18" s="354"/>
      <c r="C18" s="355"/>
      <c r="D18" s="356" t="s">
        <v>81</v>
      </c>
      <c r="E18" s="355"/>
      <c r="F18" s="357" t="s">
        <v>82</v>
      </c>
      <c r="G18" s="357"/>
      <c r="H18" s="355"/>
      <c r="I18" s="356" t="s">
        <v>83</v>
      </c>
      <c r="J18" s="357"/>
      <c r="K18" s="358" t="s">
        <v>84</v>
      </c>
      <c r="L18" s="359" t="s">
        <v>85</v>
      </c>
      <c r="M18" s="359"/>
      <c r="N18" s="359"/>
      <c r="O18" s="359"/>
      <c r="P18" s="359"/>
      <c r="Q18" s="359"/>
      <c r="R18" s="359"/>
      <c r="S18" s="360"/>
      <c r="T18" s="361">
        <f>SUM(T20:T483)</f>
        <v>36.0000000000001</v>
      </c>
      <c r="U18" s="362">
        <f>SUM(U20:U483)</f>
        <v>39.3000000000001</v>
      </c>
      <c r="V18" s="362">
        <f>SUM(V20:V483)</f>
        <v>2</v>
      </c>
    </row>
    <row r="19" s="4" customFormat="1" ht="12" spans="1:29">
      <c r="A19" s="363" t="s">
        <v>86</v>
      </c>
      <c r="B19" s="364" t="s">
        <v>87</v>
      </c>
      <c r="C19" s="364"/>
      <c r="D19" s="365" t="s">
        <v>88</v>
      </c>
      <c r="E19" s="365"/>
      <c r="F19" s="365"/>
      <c r="G19" s="365" t="s">
        <v>89</v>
      </c>
      <c r="H19" s="365"/>
      <c r="I19" s="364" t="s">
        <v>90</v>
      </c>
      <c r="J19" s="364"/>
      <c r="K19" s="365" t="s">
        <v>91</v>
      </c>
      <c r="L19" s="365"/>
      <c r="M19" s="365" t="s">
        <v>92</v>
      </c>
      <c r="N19" s="365"/>
      <c r="O19" s="365"/>
      <c r="P19" s="364" t="s">
        <v>93</v>
      </c>
      <c r="Q19" s="364"/>
      <c r="R19" s="364"/>
      <c r="S19" s="366" t="s">
        <v>94</v>
      </c>
      <c r="T19" s="367" t="s">
        <v>95</v>
      </c>
      <c r="U19" s="368" t="s">
        <v>96</v>
      </c>
      <c r="V19" s="368" t="s">
        <v>51</v>
      </c>
    </row>
    <row r="20" spans="1:29">
      <c r="A20" s="369">
        <v>1</v>
      </c>
      <c r="B20" s="370">
        <f>VLOOKUP(A20,申报要素!A:F,3,0)</f>
        <v>9113900090</v>
      </c>
      <c r="C20" s="370"/>
      <c r="D20" s="371" t="str">
        <f>VLOOKUP(A20,申报要素!A:F,2,0)</f>
        <v>编织表带</v>
      </c>
      <c r="E20" s="371"/>
      <c r="F20" s="371"/>
      <c r="G20" s="372"/>
      <c r="H20" s="372"/>
      <c r="I20" s="373">
        <v>12</v>
      </c>
      <c r="J20" s="374"/>
      <c r="K20" s="374" t="s">
        <v>97</v>
      </c>
      <c r="L20" s="374"/>
      <c r="M20" s="375" t="str">
        <f>$G$10</f>
        <v>英国</v>
      </c>
      <c r="N20" s="375"/>
      <c r="O20" s="375"/>
      <c r="P20" s="375" t="s">
        <v>98</v>
      </c>
      <c r="Q20" s="375"/>
      <c r="R20" s="375"/>
      <c r="S20" s="376" t="s">
        <v>99</v>
      </c>
      <c r="T20" s="377">
        <v>6</v>
      </c>
      <c r="U20" s="377">
        <v>6</v>
      </c>
      <c r="V20" s="378">
        <v>2</v>
      </c>
      <c r="W20" s="372"/>
      <c r="X20"/>
    </row>
    <row r="21" spans="1:29">
      <c r="A21" s="369"/>
      <c r="B21" s="379"/>
      <c r="C21" s="379"/>
      <c r="D21" s="380" t="str">
        <f>VLOOKUP(A20,申报要素!A:F,6,0)</f>
        <v>BG-20-01</v>
      </c>
      <c r="E21" s="380"/>
      <c r="F21" s="380"/>
      <c r="G21" s="381"/>
      <c r="H21" s="381"/>
      <c r="I21" s="373">
        <f>G22*I20</f>
        <v>2880</v>
      </c>
      <c r="J21" s="374"/>
      <c r="K21" s="374"/>
      <c r="L21" s="374"/>
      <c r="M21" s="374"/>
      <c r="N21" s="374"/>
      <c r="O21" s="374"/>
      <c r="P21" s="374"/>
      <c r="Q21" s="374"/>
      <c r="R21" s="374"/>
      <c r="S21" s="376"/>
      <c r="T21" s="377"/>
      <c r="U21" s="377"/>
      <c r="V21" s="382"/>
      <c r="W21" s="372"/>
      <c r="X21"/>
    </row>
    <row r="22" spans="1:29">
      <c r="A22" s="383"/>
      <c r="B22" s="286"/>
      <c r="C22" s="286"/>
      <c r="D22" s="384"/>
      <c r="E22" s="384"/>
      <c r="F22" s="384"/>
      <c r="G22" s="385">
        <v>240</v>
      </c>
      <c r="H22" s="386" t="s">
        <v>100</v>
      </c>
      <c r="I22" s="287" t="s">
        <v>101</v>
      </c>
      <c r="J22" s="387"/>
      <c r="K22" s="387"/>
      <c r="L22" s="387"/>
      <c r="M22" s="387"/>
      <c r="N22" s="387"/>
      <c r="O22" s="387"/>
      <c r="P22" s="387"/>
      <c r="Q22" s="387"/>
      <c r="R22" s="387"/>
      <c r="S22" s="288"/>
      <c r="T22" s="377"/>
      <c r="U22" s="377"/>
      <c r="V22" s="382"/>
      <c r="W22" s="372"/>
      <c r="X22"/>
    </row>
    <row r="23" spans="1:29">
      <c r="A23" s="369">
        <v>2</v>
      </c>
      <c r="B23" s="370">
        <f>VLOOKUP(A23,申报要素!A:F,3,0)</f>
        <v>9113900090</v>
      </c>
      <c r="C23" s="370"/>
      <c r="D23" s="371" t="str">
        <f>VLOOKUP(A23,申报要素!A:F,2,0)</f>
        <v>编织表带</v>
      </c>
      <c r="E23" s="371"/>
      <c r="F23" s="371"/>
      <c r="G23" s="372"/>
      <c r="H23" s="372"/>
      <c r="I23" s="373">
        <v>18</v>
      </c>
      <c r="J23" s="374"/>
      <c r="K23" s="374" t="s">
        <v>97</v>
      </c>
      <c r="L23" s="374"/>
      <c r="M23" s="375" t="str">
        <f>$G$10</f>
        <v>英国</v>
      </c>
      <c r="N23" s="375"/>
      <c r="O23" s="375"/>
      <c r="P23" s="375" t="s">
        <v>98</v>
      </c>
      <c r="Q23" s="375"/>
      <c r="R23" s="375"/>
      <c r="S23" s="376" t="s">
        <v>99</v>
      </c>
      <c r="T23" s="377">
        <v>1.5</v>
      </c>
      <c r="U23" s="377">
        <v>1.5</v>
      </c>
      <c r="V23" s="382"/>
      <c r="W23" s="372"/>
      <c r="X23"/>
    </row>
    <row r="24" spans="1:29">
      <c r="A24" s="369"/>
      <c r="B24" s="379"/>
      <c r="C24" s="379"/>
      <c r="D24" s="380" t="str">
        <f>VLOOKUP(A23,申报要素!A:F,6,0)</f>
        <v>BSX1-22-01</v>
      </c>
      <c r="E24" s="380"/>
      <c r="F24" s="380"/>
      <c r="G24" s="381"/>
      <c r="H24" s="381"/>
      <c r="I24" s="373">
        <f>G25*I23</f>
        <v>1080</v>
      </c>
      <c r="J24" s="374"/>
      <c r="K24" s="374"/>
      <c r="L24" s="374"/>
      <c r="M24" s="374"/>
      <c r="N24" s="374"/>
      <c r="O24" s="374"/>
      <c r="P24" s="374"/>
      <c r="Q24" s="374"/>
      <c r="R24" s="374"/>
      <c r="S24" s="376"/>
      <c r="T24" s="377"/>
      <c r="U24" s="377"/>
      <c r="V24" s="382"/>
      <c r="W24" s="372"/>
      <c r="X24"/>
    </row>
    <row r="25" spans="1:29">
      <c r="A25" s="383"/>
      <c r="B25" s="286"/>
      <c r="C25" s="286"/>
      <c r="D25" s="384"/>
      <c r="E25" s="384"/>
      <c r="F25" s="384"/>
      <c r="G25" s="385">
        <v>60</v>
      </c>
      <c r="H25" s="386" t="s">
        <v>100</v>
      </c>
      <c r="I25" s="287" t="s">
        <v>101</v>
      </c>
      <c r="J25" s="387"/>
      <c r="K25" s="387"/>
      <c r="L25" s="387"/>
      <c r="M25" s="387"/>
      <c r="N25" s="387"/>
      <c r="O25" s="387"/>
      <c r="P25" s="387"/>
      <c r="Q25" s="387"/>
      <c r="R25" s="387"/>
      <c r="S25" s="288"/>
      <c r="T25" s="377"/>
      <c r="U25" s="377"/>
      <c r="V25" s="382"/>
      <c r="W25" s="372"/>
      <c r="X25"/>
    </row>
    <row r="26" spans="1:29">
      <c r="A26" s="369">
        <v>3</v>
      </c>
      <c r="B26" s="370">
        <f>VLOOKUP(A26,申报要素!A:F,3,0)</f>
        <v>9113900090</v>
      </c>
      <c r="C26" s="370"/>
      <c r="D26" s="371" t="str">
        <f>VLOOKUP(A26,申报要素!A:F,2,0)</f>
        <v>编织表带</v>
      </c>
      <c r="E26" s="371"/>
      <c r="F26" s="371"/>
      <c r="G26" s="372"/>
      <c r="H26" s="372"/>
      <c r="I26" s="373">
        <v>14</v>
      </c>
      <c r="J26" s="374"/>
      <c r="K26" s="374" t="s">
        <v>97</v>
      </c>
      <c r="L26" s="374"/>
      <c r="M26" s="375" t="str">
        <f>$G$10</f>
        <v>英国</v>
      </c>
      <c r="N26" s="375"/>
      <c r="O26" s="375"/>
      <c r="P26" s="375" t="s">
        <v>98</v>
      </c>
      <c r="Q26" s="375"/>
      <c r="R26" s="375"/>
      <c r="S26" s="376" t="s">
        <v>99</v>
      </c>
      <c r="T26" s="377">
        <v>4</v>
      </c>
      <c r="U26" s="377">
        <v>4</v>
      </c>
      <c r="V26" s="382"/>
      <c r="W26" s="372"/>
      <c r="X26"/>
    </row>
    <row r="27" spans="1:29">
      <c r="A27" s="369"/>
      <c r="B27" s="379"/>
      <c r="C27" s="379"/>
      <c r="D27" s="380" t="str">
        <f>VLOOKUP(A26,申报要素!A:F,6,0)</f>
        <v>PG1-45-01</v>
      </c>
      <c r="E27" s="380"/>
      <c r="F27" s="380"/>
      <c r="G27" s="381"/>
      <c r="H27" s="381"/>
      <c r="I27" s="373">
        <f>G28*I26</f>
        <v>2170</v>
      </c>
      <c r="J27" s="374"/>
      <c r="K27" s="374"/>
      <c r="L27" s="374"/>
      <c r="M27" s="374"/>
      <c r="N27" s="374"/>
      <c r="O27" s="374"/>
      <c r="P27" s="374"/>
      <c r="Q27" s="374"/>
      <c r="R27" s="374"/>
      <c r="S27" s="376"/>
      <c r="T27" s="377"/>
      <c r="U27" s="377"/>
      <c r="V27" s="382"/>
      <c r="W27" s="372"/>
      <c r="X27"/>
    </row>
    <row r="28" spans="1:29">
      <c r="A28" s="383"/>
      <c r="B28" s="286"/>
      <c r="C28" s="286"/>
      <c r="D28" s="384"/>
      <c r="E28" s="384"/>
      <c r="F28" s="384"/>
      <c r="G28" s="385">
        <v>155</v>
      </c>
      <c r="H28" s="386" t="s">
        <v>100</v>
      </c>
      <c r="I28" s="287" t="s">
        <v>101</v>
      </c>
      <c r="J28" s="387"/>
      <c r="K28" s="387"/>
      <c r="L28" s="387"/>
      <c r="M28" s="387"/>
      <c r="N28" s="387"/>
      <c r="O28" s="387"/>
      <c r="P28" s="387"/>
      <c r="Q28" s="387"/>
      <c r="R28" s="387"/>
      <c r="S28" s="288"/>
      <c r="T28" s="377"/>
      <c r="U28" s="377"/>
      <c r="V28" s="382"/>
      <c r="W28" s="372"/>
      <c r="X28"/>
    </row>
    <row r="29" spans="1:29">
      <c r="A29" s="369">
        <v>4</v>
      </c>
      <c r="B29" s="370">
        <f>VLOOKUP(A29,申报要素!A:F,3,0)</f>
        <v>9113900090</v>
      </c>
      <c r="C29" s="370"/>
      <c r="D29" s="371" t="str">
        <f>VLOOKUP(A29,申报要素!A:F,2,0)</f>
        <v>编织表带</v>
      </c>
      <c r="E29" s="371"/>
      <c r="F29" s="371"/>
      <c r="G29" s="372"/>
      <c r="H29" s="372"/>
      <c r="I29" s="373">
        <v>15</v>
      </c>
      <c r="J29" s="374"/>
      <c r="K29" s="374" t="s">
        <v>97</v>
      </c>
      <c r="L29" s="374"/>
      <c r="M29" s="375" t="str">
        <f>$G$10</f>
        <v>英国</v>
      </c>
      <c r="N29" s="375"/>
      <c r="O29" s="375"/>
      <c r="P29" s="375" t="s">
        <v>98</v>
      </c>
      <c r="Q29" s="375"/>
      <c r="R29" s="375"/>
      <c r="S29" s="376" t="s">
        <v>99</v>
      </c>
      <c r="T29" s="377">
        <v>7</v>
      </c>
      <c r="U29" s="377">
        <v>7.8</v>
      </c>
      <c r="V29" s="382"/>
      <c r="W29" s="372"/>
      <c r="X29"/>
    </row>
    <row r="30" spans="1:29">
      <c r="A30" s="369"/>
      <c r="B30" s="379"/>
      <c r="C30" s="379"/>
      <c r="D30" s="380" t="str">
        <f>VLOOKUP(A29,申报要素!A:F,6,0)</f>
        <v>QB-16</v>
      </c>
      <c r="E30" s="380"/>
      <c r="F30" s="380"/>
      <c r="G30" s="381"/>
      <c r="H30" s="381"/>
      <c r="I30" s="373">
        <f>G31*I29</f>
        <v>4650</v>
      </c>
      <c r="J30" s="374"/>
      <c r="K30" s="374"/>
      <c r="L30" s="374"/>
      <c r="M30" s="374"/>
      <c r="N30" s="374"/>
      <c r="O30" s="374"/>
      <c r="P30" s="374"/>
      <c r="Q30" s="374"/>
      <c r="R30" s="374"/>
      <c r="S30" s="376"/>
      <c r="T30" s="377"/>
      <c r="U30" s="377"/>
      <c r="V30" s="382"/>
      <c r="W30" s="372"/>
      <c r="X30"/>
    </row>
    <row r="31" spans="1:29">
      <c r="A31" s="383"/>
      <c r="B31" s="286"/>
      <c r="C31" s="286"/>
      <c r="D31" s="384"/>
      <c r="E31" s="384"/>
      <c r="F31" s="384"/>
      <c r="G31" s="385">
        <v>310</v>
      </c>
      <c r="H31" s="386" t="s">
        <v>100</v>
      </c>
      <c r="I31" s="287" t="s">
        <v>101</v>
      </c>
      <c r="J31" s="387"/>
      <c r="K31" s="387"/>
      <c r="L31" s="387"/>
      <c r="M31" s="387"/>
      <c r="N31" s="387"/>
      <c r="O31" s="387"/>
      <c r="P31" s="387"/>
      <c r="Q31" s="387"/>
      <c r="R31" s="387"/>
      <c r="S31" s="288"/>
      <c r="T31" s="377"/>
      <c r="U31" s="377"/>
      <c r="V31" s="382"/>
      <c r="W31" s="372"/>
      <c r="X31"/>
    </row>
    <row r="32" spans="1:29">
      <c r="A32" s="369">
        <v>5</v>
      </c>
      <c r="B32" s="370">
        <f>VLOOKUP(A32,申报要素!A:F,3,0)</f>
        <v>9113900090</v>
      </c>
      <c r="C32" s="370"/>
      <c r="D32" s="371" t="str">
        <f>VLOOKUP(A32,申报要素!A:F,2,0)</f>
        <v>编织表带</v>
      </c>
      <c r="E32" s="371"/>
      <c r="F32" s="371"/>
      <c r="G32" s="372"/>
      <c r="H32" s="372"/>
      <c r="I32" s="373">
        <v>18</v>
      </c>
      <c r="J32" s="374"/>
      <c r="K32" s="374" t="s">
        <v>97</v>
      </c>
      <c r="L32" s="374"/>
      <c r="M32" s="375" t="str">
        <f>$G$10</f>
        <v>英国</v>
      </c>
      <c r="N32" s="375"/>
      <c r="O32" s="375"/>
      <c r="P32" s="375" t="s">
        <v>98</v>
      </c>
      <c r="Q32" s="375"/>
      <c r="R32" s="375"/>
      <c r="S32" s="376" t="s">
        <v>99</v>
      </c>
      <c r="T32" s="377">
        <v>4</v>
      </c>
      <c r="U32" s="377">
        <v>5</v>
      </c>
      <c r="V32" s="382"/>
      <c r="W32" s="372"/>
      <c r="X32"/>
    </row>
    <row r="33" spans="1:24">
      <c r="A33" s="369"/>
      <c r="B33" s="379"/>
      <c r="C33" s="379"/>
      <c r="D33" s="380" t="str">
        <f>VLOOKUP(A32,申报要素!A:F,6,0)</f>
        <v>SX1-22-01</v>
      </c>
      <c r="E33" s="380"/>
      <c r="F33" s="380"/>
      <c r="G33" s="381"/>
      <c r="H33" s="381"/>
      <c r="I33" s="373">
        <f>G34*I32</f>
        <v>3420</v>
      </c>
      <c r="J33" s="374"/>
      <c r="K33" s="374"/>
      <c r="L33" s="374"/>
      <c r="M33" s="374"/>
      <c r="N33" s="374"/>
      <c r="O33" s="374"/>
      <c r="P33" s="374"/>
      <c r="Q33" s="374"/>
      <c r="R33" s="374"/>
      <c r="S33" s="376"/>
      <c r="T33" s="377"/>
      <c r="U33" s="377"/>
      <c r="V33" s="382"/>
      <c r="W33" s="372"/>
      <c r="X33"/>
    </row>
    <row r="34" spans="1:24">
      <c r="A34" s="383"/>
      <c r="B34" s="286"/>
      <c r="C34" s="286"/>
      <c r="D34" s="384"/>
      <c r="E34" s="384"/>
      <c r="F34" s="384"/>
      <c r="G34" s="385">
        <v>190</v>
      </c>
      <c r="H34" s="386" t="s">
        <v>100</v>
      </c>
      <c r="I34" s="287" t="s">
        <v>101</v>
      </c>
      <c r="J34" s="387"/>
      <c r="K34" s="387"/>
      <c r="L34" s="387"/>
      <c r="M34" s="387"/>
      <c r="N34" s="387"/>
      <c r="O34" s="387"/>
      <c r="P34" s="387"/>
      <c r="Q34" s="387"/>
      <c r="R34" s="387"/>
      <c r="S34" s="288"/>
      <c r="T34" s="377"/>
      <c r="U34" s="377"/>
      <c r="V34" s="382"/>
      <c r="W34" s="372"/>
      <c r="X34"/>
    </row>
    <row r="35" spans="1:24">
      <c r="A35" s="369">
        <v>6</v>
      </c>
      <c r="B35" s="370">
        <f>VLOOKUP(A35,申报要素!A:F,3,0)</f>
        <v>9113900090</v>
      </c>
      <c r="C35" s="370"/>
      <c r="D35" s="371" t="str">
        <f>VLOOKUP(A35,申报要素!A:F,2,0)</f>
        <v>编织表带</v>
      </c>
      <c r="E35" s="371"/>
      <c r="F35" s="371"/>
      <c r="G35" s="372"/>
      <c r="H35" s="372"/>
      <c r="I35" s="373">
        <v>17</v>
      </c>
      <c r="J35" s="374"/>
      <c r="K35" s="374" t="s">
        <v>97</v>
      </c>
      <c r="L35" s="374"/>
      <c r="M35" s="375" t="str">
        <f>$G$10</f>
        <v>英国</v>
      </c>
      <c r="N35" s="375"/>
      <c r="O35" s="375"/>
      <c r="P35" s="375" t="s">
        <v>98</v>
      </c>
      <c r="Q35" s="375"/>
      <c r="R35" s="375"/>
      <c r="S35" s="376" t="s">
        <v>99</v>
      </c>
      <c r="T35" s="377">
        <v>2</v>
      </c>
      <c r="U35" s="377">
        <v>2.5</v>
      </c>
      <c r="V35" s="382"/>
      <c r="X35"/>
    </row>
    <row r="36" spans="1:24">
      <c r="A36" s="369"/>
      <c r="B36" s="379"/>
      <c r="C36" s="379"/>
      <c r="D36" s="380" t="str">
        <f>VLOOKUP(A35,申报要素!A:F,6,0)</f>
        <v>SX2-22-01</v>
      </c>
      <c r="E36" s="380"/>
      <c r="F36" s="380"/>
      <c r="G36" s="381"/>
      <c r="H36" s="381"/>
      <c r="I36" s="373">
        <f>G37*I35</f>
        <v>1785</v>
      </c>
      <c r="J36" s="374"/>
      <c r="K36" s="374"/>
      <c r="L36" s="374"/>
      <c r="M36" s="374"/>
      <c r="N36" s="374"/>
      <c r="O36" s="374"/>
      <c r="P36" s="374"/>
      <c r="Q36" s="374"/>
      <c r="R36" s="374"/>
      <c r="S36" s="376"/>
      <c r="T36" s="377"/>
      <c r="U36" s="377"/>
      <c r="V36" s="382"/>
      <c r="X36"/>
    </row>
    <row r="37" spans="1:24">
      <c r="A37" s="383"/>
      <c r="B37" s="286"/>
      <c r="C37" s="286"/>
      <c r="D37" s="384"/>
      <c r="E37" s="384"/>
      <c r="F37" s="384"/>
      <c r="G37" s="385">
        <v>105</v>
      </c>
      <c r="H37" s="386" t="s">
        <v>100</v>
      </c>
      <c r="I37" s="287" t="s">
        <v>101</v>
      </c>
      <c r="J37" s="387"/>
      <c r="K37" s="387"/>
      <c r="L37" s="387"/>
      <c r="M37" s="387"/>
      <c r="N37" s="387"/>
      <c r="O37" s="387"/>
      <c r="P37" s="387"/>
      <c r="Q37" s="387"/>
      <c r="R37" s="387"/>
      <c r="S37" s="288"/>
      <c r="T37" s="377"/>
      <c r="U37" s="377"/>
      <c r="V37" s="382"/>
      <c r="X37"/>
    </row>
    <row r="38" spans="1:24">
      <c r="A38" s="369">
        <v>7</v>
      </c>
      <c r="B38" s="370">
        <f>VLOOKUP(A38,申报要素!A:F,3,0)</f>
        <v>9113900090</v>
      </c>
      <c r="C38" s="370"/>
      <c r="D38" s="371" t="str">
        <f>VLOOKUP(A38,申报要素!A:F,2,0)</f>
        <v>编织表带</v>
      </c>
      <c r="E38" s="371"/>
      <c r="F38" s="371"/>
      <c r="G38" s="372"/>
      <c r="H38" s="372"/>
      <c r="I38" s="373">
        <v>18</v>
      </c>
      <c r="J38" s="374"/>
      <c r="K38" s="374" t="s">
        <v>97</v>
      </c>
      <c r="L38" s="374"/>
      <c r="M38" s="375" t="str">
        <f>$G$10</f>
        <v>英国</v>
      </c>
      <c r="N38" s="375"/>
      <c r="O38" s="375"/>
      <c r="P38" s="375" t="s">
        <v>98</v>
      </c>
      <c r="Q38" s="375"/>
      <c r="R38" s="375"/>
      <c r="S38" s="376" t="s">
        <v>99</v>
      </c>
      <c r="T38" s="377">
        <v>3</v>
      </c>
      <c r="U38" s="377">
        <v>3.5</v>
      </c>
      <c r="V38" s="382"/>
      <c r="X38"/>
    </row>
    <row r="39" spans="1:24">
      <c r="A39" s="369"/>
      <c r="B39" s="379"/>
      <c r="C39" s="379"/>
      <c r="D39" s="380" t="str">
        <f>VLOOKUP(A38,申报要素!A:F,6,0)</f>
        <v>SX3-22-01</v>
      </c>
      <c r="E39" s="380"/>
      <c r="F39" s="380"/>
      <c r="G39" s="381"/>
      <c r="H39" s="381"/>
      <c r="I39" s="373">
        <f>G40*I38</f>
        <v>2520</v>
      </c>
      <c r="J39" s="374"/>
      <c r="K39" s="374"/>
      <c r="L39" s="374"/>
      <c r="M39" s="374"/>
      <c r="N39" s="374"/>
      <c r="O39" s="374"/>
      <c r="P39" s="374"/>
      <c r="Q39" s="374"/>
      <c r="R39" s="374"/>
      <c r="S39" s="376"/>
      <c r="T39" s="377"/>
      <c r="U39" s="377"/>
      <c r="V39" s="382"/>
      <c r="X39"/>
    </row>
    <row r="40" spans="1:24">
      <c r="A40" s="383"/>
      <c r="B40" s="286"/>
      <c r="C40" s="286"/>
      <c r="D40" s="384"/>
      <c r="E40" s="384"/>
      <c r="F40" s="384"/>
      <c r="G40" s="385">
        <v>140</v>
      </c>
      <c r="H40" s="386" t="s">
        <v>100</v>
      </c>
      <c r="I40" s="287" t="s">
        <v>101</v>
      </c>
      <c r="J40" s="387"/>
      <c r="K40" s="387"/>
      <c r="L40" s="387"/>
      <c r="M40" s="387"/>
      <c r="N40" s="387"/>
      <c r="O40" s="387"/>
      <c r="P40" s="387"/>
      <c r="Q40" s="387"/>
      <c r="R40" s="387"/>
      <c r="S40" s="288"/>
      <c r="T40" s="377"/>
      <c r="U40" s="377"/>
      <c r="V40" s="382"/>
      <c r="X40"/>
    </row>
    <row r="41" spans="1:24">
      <c r="A41" s="369">
        <v>8</v>
      </c>
      <c r="B41" s="370">
        <f>VLOOKUP(A41,申报要素!A:F,3,0)</f>
        <v>9113900090</v>
      </c>
      <c r="C41" s="370"/>
      <c r="D41" s="371" t="str">
        <f>VLOOKUP(A41,申报要素!A:F,2,0)</f>
        <v>表带</v>
      </c>
      <c r="E41" s="371"/>
      <c r="F41" s="371"/>
      <c r="G41" s="372"/>
      <c r="H41" s="372"/>
      <c r="I41" s="373">
        <v>6.5</v>
      </c>
      <c r="J41" s="374"/>
      <c r="K41" s="374" t="s">
        <v>97</v>
      </c>
      <c r="L41" s="374"/>
      <c r="M41" s="375" t="str">
        <f>$G$10</f>
        <v>英国</v>
      </c>
      <c r="N41" s="375"/>
      <c r="O41" s="375"/>
      <c r="P41" s="375" t="s">
        <v>98</v>
      </c>
      <c r="Q41" s="375"/>
      <c r="R41" s="375"/>
      <c r="S41" s="376" t="s">
        <v>99</v>
      </c>
      <c r="T41" s="377">
        <v>0.4</v>
      </c>
      <c r="U41" s="377">
        <v>0.4</v>
      </c>
      <c r="V41" s="382"/>
      <c r="X41"/>
    </row>
    <row r="42" spans="1:24">
      <c r="A42" s="369"/>
      <c r="B42" s="379"/>
      <c r="C42" s="379"/>
      <c r="D42" s="380" t="str">
        <f>VLOOKUP(A41,申报要素!A:F,6,0)</f>
        <v>XY140-L1</v>
      </c>
      <c r="E42" s="380"/>
      <c r="F42" s="380"/>
      <c r="G42" s="381"/>
      <c r="H42" s="381"/>
      <c r="I42" s="373">
        <f>G43*I41</f>
        <v>130</v>
      </c>
      <c r="J42" s="374"/>
      <c r="K42" s="374"/>
      <c r="L42" s="374"/>
      <c r="M42" s="374"/>
      <c r="N42" s="374"/>
      <c r="O42" s="374"/>
      <c r="P42" s="374"/>
      <c r="Q42" s="374"/>
      <c r="R42" s="374"/>
      <c r="S42" s="376"/>
      <c r="T42" s="377"/>
      <c r="U42" s="377"/>
      <c r="V42" s="382"/>
      <c r="X42"/>
    </row>
    <row r="43" spans="1:24">
      <c r="A43" s="383"/>
      <c r="B43" s="286"/>
      <c r="C43" s="286"/>
      <c r="D43" s="384"/>
      <c r="E43" s="384"/>
      <c r="F43" s="384"/>
      <c r="G43" s="385">
        <v>20</v>
      </c>
      <c r="H43" s="386" t="s">
        <v>100</v>
      </c>
      <c r="I43" s="287" t="s">
        <v>101</v>
      </c>
      <c r="J43" s="387"/>
      <c r="K43" s="387"/>
      <c r="L43" s="387"/>
      <c r="M43" s="387"/>
      <c r="N43" s="387"/>
      <c r="O43" s="387"/>
      <c r="P43" s="387"/>
      <c r="Q43" s="387"/>
      <c r="R43" s="387"/>
      <c r="S43" s="288"/>
      <c r="T43" s="377"/>
      <c r="U43" s="377"/>
      <c r="V43" s="382"/>
      <c r="X43"/>
    </row>
    <row r="44" spans="1:24">
      <c r="A44" s="369">
        <v>9</v>
      </c>
      <c r="B44" s="370">
        <f>VLOOKUP(A44,申报要素!A:F,3,0)</f>
        <v>9113900090</v>
      </c>
      <c r="C44" s="370"/>
      <c r="D44" s="371" t="str">
        <f>VLOOKUP(A44,申报要素!A:F,2,0)</f>
        <v>表带</v>
      </c>
      <c r="E44" s="371"/>
      <c r="F44" s="371"/>
      <c r="G44" s="372"/>
      <c r="H44" s="372"/>
      <c r="I44" s="373">
        <v>6.5</v>
      </c>
      <c r="J44" s="374"/>
      <c r="K44" s="374" t="s">
        <v>97</v>
      </c>
      <c r="L44" s="374"/>
      <c r="M44" s="375" t="str">
        <f>$G$10</f>
        <v>英国</v>
      </c>
      <c r="N44" s="375"/>
      <c r="O44" s="375"/>
      <c r="P44" s="375" t="s">
        <v>98</v>
      </c>
      <c r="Q44" s="375"/>
      <c r="R44" s="375"/>
      <c r="S44" s="376" t="s">
        <v>99</v>
      </c>
      <c r="T44" s="377">
        <v>1.5</v>
      </c>
      <c r="U44" s="377">
        <v>1.5</v>
      </c>
      <c r="V44" s="382"/>
      <c r="X44"/>
    </row>
    <row r="45" spans="1:24">
      <c r="A45" s="369"/>
      <c r="B45" s="379"/>
      <c r="C45" s="379"/>
      <c r="D45" s="380" t="str">
        <f>VLOOKUP(A44,申报要素!A:F,6,0)</f>
        <v>XY140-S1</v>
      </c>
      <c r="E45" s="380"/>
      <c r="F45" s="380"/>
      <c r="G45" s="381"/>
      <c r="H45" s="381"/>
      <c r="I45" s="373">
        <f>G46*I44</f>
        <v>390</v>
      </c>
      <c r="J45" s="374"/>
      <c r="K45" s="374"/>
      <c r="L45" s="374"/>
      <c r="M45" s="374"/>
      <c r="N45" s="374"/>
      <c r="O45" s="374"/>
      <c r="P45" s="374"/>
      <c r="Q45" s="374"/>
      <c r="R45" s="374"/>
      <c r="S45" s="376"/>
      <c r="T45" s="377"/>
      <c r="U45" s="377"/>
      <c r="V45" s="382"/>
      <c r="X45"/>
    </row>
    <row r="46" spans="1:24">
      <c r="A46" s="383"/>
      <c r="B46" s="286"/>
      <c r="C46" s="286"/>
      <c r="D46" s="384"/>
      <c r="E46" s="384"/>
      <c r="F46" s="384"/>
      <c r="G46" s="385">
        <v>60</v>
      </c>
      <c r="H46" s="386" t="s">
        <v>100</v>
      </c>
      <c r="I46" s="287" t="s">
        <v>101</v>
      </c>
      <c r="J46" s="387"/>
      <c r="K46" s="387"/>
      <c r="L46" s="387"/>
      <c r="M46" s="387"/>
      <c r="N46" s="387"/>
      <c r="O46" s="387"/>
      <c r="P46" s="387"/>
      <c r="Q46" s="387"/>
      <c r="R46" s="387"/>
      <c r="S46" s="288"/>
      <c r="T46" s="377"/>
      <c r="U46" s="377"/>
      <c r="V46" s="382"/>
      <c r="X46"/>
    </row>
    <row r="47" spans="1:24">
      <c r="A47" s="369">
        <v>10</v>
      </c>
      <c r="B47" s="370">
        <f>VLOOKUP(A47,申报要素!A:F,3,0)</f>
        <v>9113200000</v>
      </c>
      <c r="C47" s="370"/>
      <c r="D47" s="371" t="str">
        <f>VLOOKUP(A47,申报要素!A:F,2,0)</f>
        <v>表带</v>
      </c>
      <c r="E47" s="371"/>
      <c r="F47" s="371"/>
      <c r="G47" s="372"/>
      <c r="H47" s="372"/>
      <c r="I47" s="373">
        <v>8</v>
      </c>
      <c r="J47" s="374"/>
      <c r="K47" s="374" t="s">
        <v>97</v>
      </c>
      <c r="L47" s="374"/>
      <c r="M47" s="375" t="str">
        <f>$G$10</f>
        <v>英国</v>
      </c>
      <c r="N47" s="375"/>
      <c r="O47" s="375"/>
      <c r="P47" s="375" t="s">
        <v>98</v>
      </c>
      <c r="Q47" s="375"/>
      <c r="R47" s="375"/>
      <c r="S47" s="376" t="s">
        <v>99</v>
      </c>
      <c r="T47" s="377">
        <v>0.4</v>
      </c>
      <c r="U47" s="377">
        <v>0.4</v>
      </c>
      <c r="V47" s="382"/>
      <c r="X47"/>
    </row>
    <row r="48" spans="1:24">
      <c r="A48" s="369"/>
      <c r="B48" s="379"/>
      <c r="C48" s="379"/>
      <c r="D48" s="380" t="str">
        <f>VLOOKUP(A47,申报要素!A:F,6,0)</f>
        <v>XY37-1</v>
      </c>
      <c r="E48" s="380"/>
      <c r="F48" s="380"/>
      <c r="G48" s="381"/>
      <c r="H48" s="381"/>
      <c r="I48" s="373">
        <f>G49*I47</f>
        <v>120</v>
      </c>
      <c r="J48" s="374"/>
      <c r="K48" s="374"/>
      <c r="L48" s="374"/>
      <c r="M48" s="374"/>
      <c r="N48" s="374"/>
      <c r="O48" s="374"/>
      <c r="P48" s="374"/>
      <c r="Q48" s="374"/>
      <c r="R48" s="374"/>
      <c r="S48" s="376"/>
      <c r="T48" s="377"/>
      <c r="U48" s="377"/>
      <c r="V48" s="382"/>
      <c r="X48"/>
    </row>
    <row r="49" spans="1:24">
      <c r="A49" s="383"/>
      <c r="B49" s="286"/>
      <c r="C49" s="286"/>
      <c r="D49" s="384"/>
      <c r="E49" s="384"/>
      <c r="F49" s="384"/>
      <c r="G49" s="385">
        <v>15</v>
      </c>
      <c r="H49" s="386" t="s">
        <v>100</v>
      </c>
      <c r="I49" s="287" t="s">
        <v>101</v>
      </c>
      <c r="J49" s="387"/>
      <c r="K49" s="387"/>
      <c r="L49" s="387"/>
      <c r="M49" s="387"/>
      <c r="N49" s="387"/>
      <c r="O49" s="387"/>
      <c r="P49" s="387"/>
      <c r="Q49" s="387"/>
      <c r="R49" s="387"/>
      <c r="S49" s="288"/>
      <c r="T49" s="377"/>
      <c r="U49" s="377"/>
      <c r="V49" s="382"/>
      <c r="X49"/>
    </row>
    <row r="50" spans="1:24">
      <c r="A50" s="369">
        <v>11</v>
      </c>
      <c r="B50" s="370">
        <f>VLOOKUP(A50,申报要素!A:F,3,0)</f>
        <v>9113200000</v>
      </c>
      <c r="C50" s="370"/>
      <c r="D50" s="371" t="str">
        <f>VLOOKUP(A50,申报要素!A:F,2,0)</f>
        <v>表带</v>
      </c>
      <c r="E50" s="371"/>
      <c r="F50" s="371"/>
      <c r="G50" s="372"/>
      <c r="H50" s="372"/>
      <c r="I50" s="373">
        <v>8</v>
      </c>
      <c r="J50" s="374"/>
      <c r="K50" s="374" t="s">
        <v>97</v>
      </c>
      <c r="L50" s="374"/>
      <c r="M50" s="375" t="str">
        <f>$G$10</f>
        <v>英国</v>
      </c>
      <c r="N50" s="375"/>
      <c r="O50" s="375"/>
      <c r="P50" s="375" t="s">
        <v>98</v>
      </c>
      <c r="Q50" s="375"/>
      <c r="R50" s="375"/>
      <c r="S50" s="376" t="s">
        <v>99</v>
      </c>
      <c r="T50" s="377">
        <v>0.4</v>
      </c>
      <c r="U50" s="377">
        <v>0.4</v>
      </c>
      <c r="V50" s="382"/>
      <c r="X50"/>
    </row>
    <row r="51" spans="1:24">
      <c r="A51" s="369"/>
      <c r="B51" s="379"/>
      <c r="C51" s="379"/>
      <c r="D51" s="380" t="str">
        <f>VLOOKUP(A50,申报要素!A:F,6,0)</f>
        <v>XY37-3</v>
      </c>
      <c r="E51" s="380"/>
      <c r="F51" s="380"/>
      <c r="G51" s="381"/>
      <c r="H51" s="381"/>
      <c r="I51" s="373">
        <f>G52*I50</f>
        <v>120</v>
      </c>
      <c r="J51" s="374"/>
      <c r="K51" s="374"/>
      <c r="L51" s="374"/>
      <c r="M51" s="374"/>
      <c r="N51" s="374"/>
      <c r="O51" s="374"/>
      <c r="P51" s="374"/>
      <c r="Q51" s="374"/>
      <c r="R51" s="374"/>
      <c r="S51" s="376"/>
      <c r="T51" s="377"/>
      <c r="U51" s="377"/>
      <c r="V51" s="382"/>
      <c r="X51"/>
    </row>
    <row r="52" spans="1:24">
      <c r="A52" s="383"/>
      <c r="B52" s="286"/>
      <c r="C52" s="286"/>
      <c r="D52" s="384"/>
      <c r="E52" s="384"/>
      <c r="F52" s="384"/>
      <c r="G52" s="385">
        <v>15</v>
      </c>
      <c r="H52" s="386" t="s">
        <v>100</v>
      </c>
      <c r="I52" s="287" t="s">
        <v>101</v>
      </c>
      <c r="J52" s="387"/>
      <c r="K52" s="387"/>
      <c r="L52" s="387"/>
      <c r="M52" s="387"/>
      <c r="N52" s="387"/>
      <c r="O52" s="387"/>
      <c r="P52" s="387"/>
      <c r="Q52" s="387"/>
      <c r="R52" s="387"/>
      <c r="S52" s="288"/>
      <c r="T52" s="377"/>
      <c r="U52" s="377"/>
      <c r="V52" s="382"/>
      <c r="X52"/>
    </row>
    <row r="53" spans="1:24">
      <c r="A53" s="369">
        <v>12</v>
      </c>
      <c r="B53" s="370">
        <f>VLOOKUP(A53,申报要素!A:F,3,0)</f>
        <v>9113900090</v>
      </c>
      <c r="C53" s="370"/>
      <c r="D53" s="371" t="str">
        <f>VLOOKUP(A53,申报要素!A:F,2,0)</f>
        <v>硅胶表带</v>
      </c>
      <c r="E53" s="371"/>
      <c r="F53" s="371"/>
      <c r="G53" s="372"/>
      <c r="H53" s="372"/>
      <c r="I53" s="373">
        <v>6</v>
      </c>
      <c r="J53" s="374"/>
      <c r="K53" s="374" t="s">
        <v>97</v>
      </c>
      <c r="L53" s="374"/>
      <c r="M53" s="375" t="str">
        <f>$G$10</f>
        <v>英国</v>
      </c>
      <c r="N53" s="375"/>
      <c r="O53" s="375"/>
      <c r="P53" s="375" t="s">
        <v>98</v>
      </c>
      <c r="Q53" s="375"/>
      <c r="R53" s="375"/>
      <c r="S53" s="376" t="s">
        <v>99</v>
      </c>
      <c r="T53" s="377">
        <v>2</v>
      </c>
      <c r="U53" s="377">
        <v>2.5</v>
      </c>
      <c r="V53" s="382"/>
      <c r="X53"/>
    </row>
    <row r="54" spans="1:24">
      <c r="A54" s="369"/>
      <c r="B54" s="379"/>
      <c r="C54" s="379"/>
      <c r="D54" s="380" t="str">
        <f>VLOOKUP(A53,申报要素!A:F,6,0)</f>
        <v>ZF-3</v>
      </c>
      <c r="E54" s="380"/>
      <c r="F54" s="380"/>
      <c r="G54" s="381"/>
      <c r="H54" s="381"/>
      <c r="I54" s="373">
        <f>G55*I53</f>
        <v>600</v>
      </c>
      <c r="J54" s="374"/>
      <c r="K54" s="374"/>
      <c r="L54" s="374"/>
      <c r="M54" s="374"/>
      <c r="N54" s="374"/>
      <c r="O54" s="374"/>
      <c r="P54" s="374"/>
      <c r="Q54" s="374"/>
      <c r="R54" s="374"/>
      <c r="S54" s="376"/>
      <c r="T54" s="377"/>
      <c r="U54" s="377"/>
      <c r="V54" s="382"/>
      <c r="X54"/>
    </row>
    <row r="55" spans="1:24">
      <c r="A55" s="383"/>
      <c r="B55" s="286"/>
      <c r="C55" s="286"/>
      <c r="D55" s="384"/>
      <c r="E55" s="384"/>
      <c r="F55" s="384"/>
      <c r="G55" s="385">
        <v>100</v>
      </c>
      <c r="H55" s="386" t="s">
        <v>100</v>
      </c>
      <c r="I55" s="287" t="s">
        <v>101</v>
      </c>
      <c r="J55" s="387"/>
      <c r="K55" s="387"/>
      <c r="L55" s="387"/>
      <c r="M55" s="387"/>
      <c r="N55" s="387"/>
      <c r="O55" s="387"/>
      <c r="P55" s="387"/>
      <c r="Q55" s="387"/>
      <c r="R55" s="387"/>
      <c r="S55" s="288"/>
      <c r="T55" s="377"/>
      <c r="U55" s="377"/>
      <c r="V55" s="382"/>
      <c r="X55"/>
    </row>
    <row r="56" spans="1:24">
      <c r="A56" s="369">
        <v>13</v>
      </c>
      <c r="B56" s="370">
        <f>VLOOKUP(A56,申报要素!A:F,3,0)</f>
        <v>9113200000</v>
      </c>
      <c r="C56" s="370"/>
      <c r="D56" s="371" t="str">
        <f>VLOOKUP(A56,申报要素!A:F,2,0)</f>
        <v>手表表带</v>
      </c>
      <c r="E56" s="371"/>
      <c r="F56" s="371"/>
      <c r="G56" s="372"/>
      <c r="H56" s="372"/>
      <c r="I56" s="373">
        <v>32</v>
      </c>
      <c r="J56" s="374"/>
      <c r="K56" s="374" t="s">
        <v>97</v>
      </c>
      <c r="L56" s="374"/>
      <c r="M56" s="375" t="str">
        <f>$G$10</f>
        <v>英国</v>
      </c>
      <c r="N56" s="375"/>
      <c r="O56" s="375"/>
      <c r="P56" s="375" t="s">
        <v>98</v>
      </c>
      <c r="Q56" s="375"/>
      <c r="R56" s="375"/>
      <c r="S56" s="376" t="s">
        <v>99</v>
      </c>
      <c r="T56" s="377">
        <v>0.1</v>
      </c>
      <c r="U56" s="377">
        <v>0.1</v>
      </c>
      <c r="V56" s="382"/>
      <c r="X56"/>
    </row>
    <row r="57" spans="1:24">
      <c r="A57" s="369"/>
      <c r="B57" s="379"/>
      <c r="C57" s="379"/>
      <c r="D57" s="380" t="str">
        <f>VLOOKUP(A56,申报要素!A:F,6,0)</f>
        <v>ZY2-3</v>
      </c>
      <c r="E57" s="380"/>
      <c r="F57" s="380"/>
      <c r="G57" s="381"/>
      <c r="H57" s="381"/>
      <c r="I57" s="373">
        <f>G58*I56</f>
        <v>160</v>
      </c>
      <c r="J57" s="374"/>
      <c r="K57" s="374"/>
      <c r="L57" s="374"/>
      <c r="M57" s="374"/>
      <c r="N57" s="374"/>
      <c r="O57" s="374"/>
      <c r="P57" s="374"/>
      <c r="Q57" s="374"/>
      <c r="R57" s="374"/>
      <c r="S57" s="376"/>
      <c r="T57" s="377"/>
      <c r="U57" s="377"/>
      <c r="V57" s="382"/>
      <c r="X57"/>
    </row>
    <row r="58" spans="1:24">
      <c r="A58" s="383"/>
      <c r="B58" s="286"/>
      <c r="C58" s="286"/>
      <c r="D58" s="384"/>
      <c r="E58" s="384"/>
      <c r="F58" s="384"/>
      <c r="G58" s="385">
        <v>5</v>
      </c>
      <c r="H58" s="386" t="s">
        <v>100</v>
      </c>
      <c r="I58" s="287" t="s">
        <v>101</v>
      </c>
      <c r="J58" s="387"/>
      <c r="K58" s="387"/>
      <c r="L58" s="387"/>
      <c r="M58" s="387"/>
      <c r="N58" s="387"/>
      <c r="O58" s="387"/>
      <c r="P58" s="387"/>
      <c r="Q58" s="387"/>
      <c r="R58" s="387"/>
      <c r="S58" s="288"/>
      <c r="T58" s="377"/>
      <c r="U58" s="377"/>
      <c r="V58" s="382"/>
      <c r="X58"/>
    </row>
    <row r="59" spans="1:24">
      <c r="A59" s="369">
        <v>14</v>
      </c>
      <c r="B59" s="370">
        <f>VLOOKUP(A59,申报要素!A:F,3,0)</f>
        <v>9113200000</v>
      </c>
      <c r="C59" s="370"/>
      <c r="D59" s="371" t="str">
        <f>VLOOKUP(A59,申报要素!A:F,2,0)</f>
        <v>手表表带</v>
      </c>
      <c r="E59" s="371"/>
      <c r="F59" s="371"/>
      <c r="G59" s="372"/>
      <c r="H59" s="372"/>
      <c r="I59" s="373">
        <v>32</v>
      </c>
      <c r="J59" s="374"/>
      <c r="K59" s="374" t="s">
        <v>97</v>
      </c>
      <c r="L59" s="374"/>
      <c r="M59" s="375" t="str">
        <f>$G$10</f>
        <v>英国</v>
      </c>
      <c r="N59" s="375"/>
      <c r="O59" s="375"/>
      <c r="P59" s="375" t="s">
        <v>98</v>
      </c>
      <c r="Q59" s="375"/>
      <c r="R59" s="375"/>
      <c r="S59" s="376" t="s">
        <v>99</v>
      </c>
      <c r="T59" s="377">
        <v>0.1</v>
      </c>
      <c r="U59" s="377">
        <v>0.1</v>
      </c>
      <c r="V59" s="382"/>
      <c r="X59"/>
    </row>
    <row r="60" spans="1:24">
      <c r="A60" s="369"/>
      <c r="B60" s="379"/>
      <c r="C60" s="379"/>
      <c r="D60" s="380" t="str">
        <f>VLOOKUP(A59,申报要素!A:F,6,0)</f>
        <v>ZY2-3</v>
      </c>
      <c r="E60" s="380"/>
      <c r="F60" s="380"/>
      <c r="G60" s="381"/>
      <c r="H60" s="381"/>
      <c r="I60" s="373">
        <f>G61*I59</f>
        <v>160</v>
      </c>
      <c r="J60" s="374"/>
      <c r="K60" s="374"/>
      <c r="L60" s="374"/>
      <c r="M60" s="374"/>
      <c r="N60" s="374"/>
      <c r="O60" s="374"/>
      <c r="P60" s="374"/>
      <c r="Q60" s="374"/>
      <c r="R60" s="374"/>
      <c r="S60" s="376"/>
      <c r="T60" s="377"/>
      <c r="U60" s="377"/>
      <c r="V60" s="382"/>
      <c r="X60"/>
    </row>
    <row r="61" spans="1:24">
      <c r="A61" s="383"/>
      <c r="B61" s="286"/>
      <c r="C61" s="286"/>
      <c r="D61" s="384"/>
      <c r="E61" s="384"/>
      <c r="F61" s="384"/>
      <c r="G61" s="385">
        <v>5</v>
      </c>
      <c r="H61" s="386" t="s">
        <v>100</v>
      </c>
      <c r="I61" s="287" t="s">
        <v>101</v>
      </c>
      <c r="J61" s="387"/>
      <c r="K61" s="387"/>
      <c r="L61" s="387"/>
      <c r="M61" s="387"/>
      <c r="N61" s="387"/>
      <c r="O61" s="387"/>
      <c r="P61" s="387"/>
      <c r="Q61" s="387"/>
      <c r="R61" s="387"/>
      <c r="S61" s="288"/>
      <c r="T61" s="377"/>
      <c r="U61" s="377"/>
      <c r="V61" s="382"/>
      <c r="X61"/>
    </row>
    <row r="62" spans="1:24">
      <c r="A62" s="369">
        <v>15</v>
      </c>
      <c r="B62" s="370">
        <f>VLOOKUP(A62,申报要素!A:F,3,0)</f>
        <v>9113200000</v>
      </c>
      <c r="C62" s="370"/>
      <c r="D62" s="371" t="str">
        <f>VLOOKUP(A62,申报要素!A:F,2,0)</f>
        <v>手表表带</v>
      </c>
      <c r="E62" s="371"/>
      <c r="F62" s="371"/>
      <c r="G62" s="372"/>
      <c r="H62" s="372"/>
      <c r="I62" s="373">
        <v>32</v>
      </c>
      <c r="J62" s="374"/>
      <c r="K62" s="374" t="s">
        <v>97</v>
      </c>
      <c r="L62" s="374"/>
      <c r="M62" s="375" t="str">
        <f>$G$10</f>
        <v>英国</v>
      </c>
      <c r="N62" s="375"/>
      <c r="O62" s="375"/>
      <c r="P62" s="375" t="s">
        <v>98</v>
      </c>
      <c r="Q62" s="375"/>
      <c r="R62" s="375"/>
      <c r="S62" s="376" t="s">
        <v>99</v>
      </c>
      <c r="T62" s="377">
        <v>0.1</v>
      </c>
      <c r="U62" s="377">
        <v>0.1</v>
      </c>
      <c r="V62" s="382"/>
      <c r="X62"/>
    </row>
    <row r="63" spans="1:24">
      <c r="A63" s="369"/>
      <c r="B63" s="379"/>
      <c r="C63" s="379"/>
      <c r="D63" s="380" t="str">
        <f>VLOOKUP(A62,申报要素!A:F,6,0)</f>
        <v>ZY2-3</v>
      </c>
      <c r="E63" s="380"/>
      <c r="F63" s="380"/>
      <c r="G63" s="381"/>
      <c r="H63" s="381"/>
      <c r="I63" s="373">
        <f>G64*I62</f>
        <v>160</v>
      </c>
      <c r="J63" s="374"/>
      <c r="K63" s="374"/>
      <c r="L63" s="374"/>
      <c r="M63" s="374"/>
      <c r="N63" s="374"/>
      <c r="O63" s="374"/>
      <c r="P63" s="374"/>
      <c r="Q63" s="374"/>
      <c r="R63" s="374"/>
      <c r="S63" s="376"/>
      <c r="T63" s="377"/>
      <c r="U63" s="377"/>
      <c r="V63" s="382"/>
      <c r="X63"/>
    </row>
    <row r="64" spans="1:24">
      <c r="A64" s="383"/>
      <c r="B64" s="286"/>
      <c r="C64" s="286"/>
      <c r="D64" s="384"/>
      <c r="E64" s="384"/>
      <c r="F64" s="384"/>
      <c r="G64" s="385">
        <v>5</v>
      </c>
      <c r="H64" s="386" t="s">
        <v>100</v>
      </c>
      <c r="I64" s="287" t="s">
        <v>101</v>
      </c>
      <c r="J64" s="387"/>
      <c r="K64" s="387"/>
      <c r="L64" s="387"/>
      <c r="M64" s="387"/>
      <c r="N64" s="387"/>
      <c r="O64" s="387"/>
      <c r="P64" s="387"/>
      <c r="Q64" s="387"/>
      <c r="R64" s="387"/>
      <c r="S64" s="288"/>
      <c r="T64" s="377"/>
      <c r="U64" s="377"/>
      <c r="V64" s="382"/>
      <c r="X64"/>
    </row>
    <row r="65" spans="1:44">
      <c r="A65" s="369">
        <v>16</v>
      </c>
      <c r="B65" s="370">
        <f>VLOOKUP(A65,申报要素!A:F,3,0)</f>
        <v>9113200000</v>
      </c>
      <c r="C65" s="370"/>
      <c r="D65" s="371" t="str">
        <f>VLOOKUP(A65,申报要素!A:F,2,0)</f>
        <v>手表表带</v>
      </c>
      <c r="E65" s="371"/>
      <c r="F65" s="371"/>
      <c r="G65" s="372"/>
      <c r="H65" s="372"/>
      <c r="I65" s="373">
        <v>32</v>
      </c>
      <c r="J65" s="374"/>
      <c r="K65" s="374" t="s">
        <v>97</v>
      </c>
      <c r="L65" s="374"/>
      <c r="M65" s="375" t="str">
        <f>$G$10</f>
        <v>英国</v>
      </c>
      <c r="N65" s="375"/>
      <c r="O65" s="375"/>
      <c r="P65" s="375" t="s">
        <v>98</v>
      </c>
      <c r="Q65" s="375"/>
      <c r="R65" s="375"/>
      <c r="S65" s="376" t="s">
        <v>99</v>
      </c>
      <c r="T65" s="377">
        <v>0.1</v>
      </c>
      <c r="U65" s="377">
        <v>0.1</v>
      </c>
      <c r="V65" s="382"/>
      <c r="X65"/>
    </row>
    <row r="66" spans="1:44">
      <c r="A66" s="369"/>
      <c r="B66" s="379"/>
      <c r="C66" s="379"/>
      <c r="D66" s="380" t="str">
        <f>VLOOKUP(A65,申报要素!A:F,6,0)</f>
        <v>ZY2-3</v>
      </c>
      <c r="E66" s="380"/>
      <c r="F66" s="380"/>
      <c r="G66" s="381"/>
      <c r="H66" s="381"/>
      <c r="I66" s="373">
        <f>G67*I65</f>
        <v>160</v>
      </c>
      <c r="J66" s="374"/>
      <c r="K66" s="374"/>
      <c r="L66" s="374"/>
      <c r="M66" s="374"/>
      <c r="N66" s="374"/>
      <c r="O66" s="374"/>
      <c r="P66" s="374"/>
      <c r="Q66" s="374"/>
      <c r="R66" s="374"/>
      <c r="S66" s="376"/>
      <c r="T66" s="377"/>
      <c r="U66" s="377"/>
      <c r="V66" s="382"/>
      <c r="X66"/>
      <c r="AR66" s="388"/>
    </row>
    <row r="67" spans="1:44">
      <c r="A67" s="383"/>
      <c r="B67" s="286"/>
      <c r="C67" s="286"/>
      <c r="D67" s="384"/>
      <c r="E67" s="384"/>
      <c r="F67" s="384"/>
      <c r="G67" s="385">
        <v>5</v>
      </c>
      <c r="H67" s="386" t="s">
        <v>100</v>
      </c>
      <c r="I67" s="287" t="s">
        <v>101</v>
      </c>
      <c r="J67" s="387"/>
      <c r="K67" s="387"/>
      <c r="L67" s="387"/>
      <c r="M67" s="387"/>
      <c r="N67" s="387"/>
      <c r="O67" s="387"/>
      <c r="P67" s="387"/>
      <c r="Q67" s="387"/>
      <c r="R67" s="387"/>
      <c r="S67" s="288"/>
      <c r="T67" s="377"/>
      <c r="U67" s="377"/>
      <c r="V67" s="382"/>
      <c r="X67"/>
    </row>
    <row r="68" spans="1:44">
      <c r="A68" s="369">
        <v>17</v>
      </c>
      <c r="B68" s="370">
        <f>VLOOKUP(A68,申报要素!A:F,3,0)</f>
        <v>9113200000</v>
      </c>
      <c r="C68" s="370"/>
      <c r="D68" s="371" t="str">
        <f>VLOOKUP(A68,申报要素!A:F,2,0)</f>
        <v>手表表带</v>
      </c>
      <c r="E68" s="371"/>
      <c r="F68" s="371"/>
      <c r="G68" s="372"/>
      <c r="H68" s="372"/>
      <c r="I68" s="373">
        <v>32</v>
      </c>
      <c r="J68" s="374"/>
      <c r="K68" s="374" t="s">
        <v>97</v>
      </c>
      <c r="L68" s="374"/>
      <c r="M68" s="375" t="str">
        <f>$G$10</f>
        <v>英国</v>
      </c>
      <c r="N68" s="375"/>
      <c r="O68" s="375"/>
      <c r="P68" s="375" t="s">
        <v>98</v>
      </c>
      <c r="Q68" s="375"/>
      <c r="R68" s="375"/>
      <c r="S68" s="376" t="s">
        <v>99</v>
      </c>
      <c r="T68" s="377">
        <v>0.1</v>
      </c>
      <c r="U68" s="377">
        <v>0.1</v>
      </c>
      <c r="V68" s="382"/>
      <c r="X68"/>
    </row>
    <row r="69" spans="1:44">
      <c r="A69" s="369"/>
      <c r="B69" s="379"/>
      <c r="C69" s="379"/>
      <c r="D69" s="380" t="str">
        <f>VLOOKUP(A68,申报要素!A:F,6,0)</f>
        <v>ZY2-3</v>
      </c>
      <c r="E69" s="380"/>
      <c r="F69" s="380"/>
      <c r="G69" s="381"/>
      <c r="H69" s="381"/>
      <c r="I69" s="373">
        <f>G70*I68</f>
        <v>160</v>
      </c>
      <c r="J69" s="374"/>
      <c r="K69" s="374"/>
      <c r="L69" s="374"/>
      <c r="M69" s="374"/>
      <c r="N69" s="374"/>
      <c r="O69" s="374"/>
      <c r="P69" s="374"/>
      <c r="Q69" s="374"/>
      <c r="R69" s="374"/>
      <c r="S69" s="376"/>
      <c r="T69" s="377"/>
      <c r="U69" s="377"/>
      <c r="V69" s="382"/>
      <c r="X69"/>
    </row>
    <row r="70" spans="1:44">
      <c r="A70" s="383"/>
      <c r="B70" s="286"/>
      <c r="C70" s="286"/>
      <c r="D70" s="384"/>
      <c r="E70" s="384"/>
      <c r="F70" s="384"/>
      <c r="G70" s="385">
        <v>5</v>
      </c>
      <c r="H70" s="386" t="s">
        <v>100</v>
      </c>
      <c r="I70" s="287" t="s">
        <v>101</v>
      </c>
      <c r="J70" s="387"/>
      <c r="K70" s="387"/>
      <c r="L70" s="387"/>
      <c r="M70" s="387"/>
      <c r="N70" s="387"/>
      <c r="O70" s="387"/>
      <c r="P70" s="387"/>
      <c r="Q70" s="387"/>
      <c r="R70" s="387"/>
      <c r="S70" s="288"/>
      <c r="T70" s="377"/>
      <c r="U70" s="377"/>
      <c r="V70" s="389"/>
      <c r="X70"/>
    </row>
    <row r="71" spans="1:44">
      <c r="A71" s="369">
        <v>18</v>
      </c>
      <c r="B71" s="370">
        <f>VLOOKUP(A71,申报要素!A:F,3,0)</f>
        <v>9113200000</v>
      </c>
      <c r="C71" s="370"/>
      <c r="D71" s="371" t="str">
        <f>VLOOKUP(A71,申报要素!A:F,2,0)</f>
        <v>手表表带</v>
      </c>
      <c r="E71" s="371"/>
      <c r="F71" s="371"/>
      <c r="G71" s="372"/>
      <c r="H71" s="372"/>
      <c r="I71" s="373">
        <v>32</v>
      </c>
      <c r="J71" s="374"/>
      <c r="K71" s="374" t="s">
        <v>97</v>
      </c>
      <c r="L71" s="374"/>
      <c r="M71" s="375" t="str">
        <f>$G$10</f>
        <v>英国</v>
      </c>
      <c r="N71" s="375"/>
      <c r="O71" s="375"/>
      <c r="P71" s="375" t="s">
        <v>98</v>
      </c>
      <c r="Q71" s="375"/>
      <c r="R71" s="375"/>
      <c r="S71" s="376" t="s">
        <v>99</v>
      </c>
      <c r="T71" s="377">
        <v>0.1</v>
      </c>
      <c r="U71" s="377">
        <v>0.1</v>
      </c>
      <c r="V71" s="377"/>
      <c r="X71"/>
    </row>
    <row r="72" spans="1:44">
      <c r="A72" s="369"/>
      <c r="B72" s="379"/>
      <c r="C72" s="379"/>
      <c r="D72" s="380" t="str">
        <f>VLOOKUP(A71,申报要素!A:F,6,0)</f>
        <v>ZY2-3</v>
      </c>
      <c r="E72" s="380"/>
      <c r="F72" s="380"/>
      <c r="G72" s="381"/>
      <c r="H72" s="381"/>
      <c r="I72" s="373">
        <f>G73*I71</f>
        <v>160</v>
      </c>
      <c r="J72" s="374"/>
      <c r="K72" s="374"/>
      <c r="L72" s="374"/>
      <c r="M72" s="374"/>
      <c r="N72" s="374"/>
      <c r="O72" s="374"/>
      <c r="P72" s="374"/>
      <c r="Q72" s="374"/>
      <c r="R72" s="374"/>
      <c r="S72" s="376"/>
      <c r="T72" s="377"/>
      <c r="U72" s="377"/>
      <c r="V72" s="377"/>
      <c r="X72"/>
    </row>
    <row r="73" spans="1:44">
      <c r="A73" s="383"/>
      <c r="B73" s="286"/>
      <c r="C73" s="286"/>
      <c r="D73" s="384"/>
      <c r="E73" s="384"/>
      <c r="F73" s="384"/>
      <c r="G73" s="385">
        <v>5</v>
      </c>
      <c r="H73" s="386" t="s">
        <v>100</v>
      </c>
      <c r="I73" s="287" t="s">
        <v>101</v>
      </c>
      <c r="J73" s="387"/>
      <c r="K73" s="387"/>
      <c r="L73" s="387"/>
      <c r="M73" s="387"/>
      <c r="N73" s="387"/>
      <c r="O73" s="387"/>
      <c r="P73" s="387"/>
      <c r="Q73" s="387"/>
      <c r="R73" s="387"/>
      <c r="S73" s="288"/>
      <c r="T73" s="377"/>
      <c r="U73" s="377"/>
      <c r="V73" s="377"/>
      <c r="X73"/>
    </row>
    <row r="74" spans="1:44">
      <c r="A74" s="369">
        <v>19</v>
      </c>
      <c r="B74" s="370">
        <f>VLOOKUP(A74,申报要素!A:F,3,0)</f>
        <v>9113200000</v>
      </c>
      <c r="C74" s="370"/>
      <c r="D74" s="371" t="str">
        <f>VLOOKUP(A74,申报要素!A:F,2,0)</f>
        <v>手表表带</v>
      </c>
      <c r="E74" s="371"/>
      <c r="F74" s="371"/>
      <c r="G74" s="372"/>
      <c r="H74" s="372"/>
      <c r="I74" s="373">
        <v>32</v>
      </c>
      <c r="J74" s="374"/>
      <c r="K74" s="374" t="s">
        <v>97</v>
      </c>
      <c r="L74" s="374"/>
      <c r="M74" s="375" t="str">
        <f>$G$10</f>
        <v>英国</v>
      </c>
      <c r="N74" s="375"/>
      <c r="O74" s="375"/>
      <c r="P74" s="375" t="s">
        <v>98</v>
      </c>
      <c r="Q74" s="375"/>
      <c r="R74" s="375"/>
      <c r="S74" s="376" t="s">
        <v>99</v>
      </c>
      <c r="T74" s="377">
        <v>0.1</v>
      </c>
      <c r="U74" s="377">
        <v>0.1</v>
      </c>
      <c r="V74" s="377"/>
      <c r="X74"/>
    </row>
    <row r="75" spans="1:44">
      <c r="A75" s="369"/>
      <c r="B75" s="379"/>
      <c r="C75" s="379"/>
      <c r="D75" s="380" t="str">
        <f>VLOOKUP(A74,申报要素!A:F,6,0)</f>
        <v>ZY2-3</v>
      </c>
      <c r="E75" s="380"/>
      <c r="F75" s="380"/>
      <c r="G75" s="381"/>
      <c r="H75" s="381"/>
      <c r="I75" s="373">
        <f>G76*I74</f>
        <v>160</v>
      </c>
      <c r="J75" s="374"/>
      <c r="K75" s="374"/>
      <c r="L75" s="374"/>
      <c r="M75" s="374"/>
      <c r="N75" s="374"/>
      <c r="O75" s="374"/>
      <c r="P75" s="374"/>
      <c r="Q75" s="374"/>
      <c r="R75" s="374"/>
      <c r="S75" s="376"/>
      <c r="T75" s="377"/>
      <c r="U75" s="377"/>
      <c r="V75" s="377"/>
      <c r="X75"/>
    </row>
    <row r="76" spans="1:44">
      <c r="A76" s="383"/>
      <c r="B76" s="286"/>
      <c r="C76" s="286"/>
      <c r="D76" s="384"/>
      <c r="E76" s="384"/>
      <c r="F76" s="384"/>
      <c r="G76" s="385">
        <v>5</v>
      </c>
      <c r="H76" s="386" t="s">
        <v>100</v>
      </c>
      <c r="I76" s="287" t="s">
        <v>101</v>
      </c>
      <c r="J76" s="387"/>
      <c r="K76" s="387"/>
      <c r="L76" s="387"/>
      <c r="M76" s="387"/>
      <c r="N76" s="387"/>
      <c r="O76" s="387"/>
      <c r="P76" s="387"/>
      <c r="Q76" s="387"/>
      <c r="R76" s="387"/>
      <c r="S76" s="288"/>
      <c r="T76" s="377"/>
      <c r="U76" s="377"/>
      <c r="V76" s="377"/>
      <c r="X76"/>
    </row>
    <row r="77" spans="1:44">
      <c r="A77" s="369">
        <v>20</v>
      </c>
      <c r="B77" s="370">
        <f>VLOOKUP(A77,申报要素!A:F,3,0)</f>
        <v>9113200000</v>
      </c>
      <c r="C77" s="370"/>
      <c r="D77" s="371" t="str">
        <f>VLOOKUP(A77,申报要素!A:F,2,0)</f>
        <v>手表表带</v>
      </c>
      <c r="E77" s="371"/>
      <c r="F77" s="371"/>
      <c r="G77" s="372"/>
      <c r="H77" s="372"/>
      <c r="I77" s="373">
        <v>32</v>
      </c>
      <c r="J77" s="374"/>
      <c r="K77" s="374" t="s">
        <v>97</v>
      </c>
      <c r="L77" s="374"/>
      <c r="M77" s="375" t="str">
        <f>$G$10</f>
        <v>英国</v>
      </c>
      <c r="N77" s="375"/>
      <c r="O77" s="375"/>
      <c r="P77" s="375" t="s">
        <v>98</v>
      </c>
      <c r="Q77" s="375"/>
      <c r="R77" s="375"/>
      <c r="S77" s="376" t="s">
        <v>99</v>
      </c>
      <c r="T77" s="377">
        <v>0.1</v>
      </c>
      <c r="U77" s="377">
        <v>0.1</v>
      </c>
      <c r="V77" s="377"/>
      <c r="X77"/>
    </row>
    <row r="78" spans="1:44">
      <c r="A78" s="369"/>
      <c r="B78" s="379"/>
      <c r="C78" s="379"/>
      <c r="D78" s="380" t="str">
        <f>VLOOKUP(A77,申报要素!A:F,6,0)</f>
        <v>ZY2-3</v>
      </c>
      <c r="E78" s="380"/>
      <c r="F78" s="380"/>
      <c r="G78" s="381"/>
      <c r="H78" s="381"/>
      <c r="I78" s="373">
        <f>G79*I77</f>
        <v>160</v>
      </c>
      <c r="J78" s="374"/>
      <c r="K78" s="374"/>
      <c r="L78" s="374"/>
      <c r="M78" s="374"/>
      <c r="N78" s="374"/>
      <c r="O78" s="374"/>
      <c r="P78" s="374"/>
      <c r="Q78" s="374"/>
      <c r="R78" s="374"/>
      <c r="S78" s="376"/>
      <c r="T78" s="377"/>
      <c r="U78" s="377"/>
      <c r="V78" s="377"/>
      <c r="X78"/>
    </row>
    <row r="79" spans="1:44">
      <c r="A79" s="383"/>
      <c r="B79" s="286"/>
      <c r="C79" s="286"/>
      <c r="D79" s="384"/>
      <c r="E79" s="384"/>
      <c r="F79" s="384"/>
      <c r="G79" s="385">
        <v>5</v>
      </c>
      <c r="H79" s="386" t="s">
        <v>100</v>
      </c>
      <c r="I79" s="287" t="s">
        <v>101</v>
      </c>
      <c r="J79" s="387"/>
      <c r="K79" s="387"/>
      <c r="L79" s="387"/>
      <c r="M79" s="387"/>
      <c r="N79" s="387"/>
      <c r="O79" s="387"/>
      <c r="P79" s="387"/>
      <c r="Q79" s="387"/>
      <c r="R79" s="387"/>
      <c r="S79" s="288"/>
      <c r="T79" s="377"/>
      <c r="U79" s="377"/>
      <c r="V79" s="377"/>
      <c r="X79"/>
    </row>
    <row r="80" spans="1:44">
      <c r="A80" s="369">
        <v>21</v>
      </c>
      <c r="B80" s="370">
        <f>VLOOKUP(A80,申报要素!A:F,3,0)</f>
        <v>9113200000</v>
      </c>
      <c r="C80" s="370"/>
      <c r="D80" s="371" t="str">
        <f>VLOOKUP(A80,申报要素!A:F,2,0)</f>
        <v>手表表带</v>
      </c>
      <c r="E80" s="371"/>
      <c r="F80" s="371"/>
      <c r="G80" s="372"/>
      <c r="H80" s="372"/>
      <c r="I80" s="373">
        <v>32</v>
      </c>
      <c r="J80" s="374"/>
      <c r="K80" s="374" t="s">
        <v>97</v>
      </c>
      <c r="L80" s="374"/>
      <c r="M80" s="375" t="str">
        <f>$G$10</f>
        <v>英国</v>
      </c>
      <c r="N80" s="375"/>
      <c r="O80" s="375"/>
      <c r="P80" s="375" t="s">
        <v>98</v>
      </c>
      <c r="Q80" s="375"/>
      <c r="R80" s="375"/>
      <c r="S80" s="376" t="s">
        <v>99</v>
      </c>
      <c r="T80" s="377">
        <v>0.1</v>
      </c>
      <c r="U80" s="377">
        <v>0.1</v>
      </c>
      <c r="V80" s="377"/>
      <c r="X80"/>
    </row>
    <row r="81" spans="1:24">
      <c r="A81" s="369"/>
      <c r="B81" s="379"/>
      <c r="C81" s="379"/>
      <c r="D81" s="380" t="str">
        <f>VLOOKUP(A80,申报要素!A:F,6,0)</f>
        <v>ZY2-3</v>
      </c>
      <c r="E81" s="380"/>
      <c r="F81" s="380"/>
      <c r="G81" s="381"/>
      <c r="H81" s="381"/>
      <c r="I81" s="373">
        <f>G82*I80</f>
        <v>160</v>
      </c>
      <c r="J81" s="374"/>
      <c r="K81" s="374"/>
      <c r="L81" s="374"/>
      <c r="M81" s="374"/>
      <c r="N81" s="374"/>
      <c r="O81" s="374"/>
      <c r="P81" s="374"/>
      <c r="Q81" s="374"/>
      <c r="R81" s="374"/>
      <c r="S81" s="376"/>
      <c r="T81" s="377"/>
      <c r="U81" s="377"/>
      <c r="V81" s="377"/>
      <c r="X81"/>
    </row>
    <row r="82" spans="1:24">
      <c r="A82" s="383"/>
      <c r="B82" s="286"/>
      <c r="C82" s="286"/>
      <c r="D82" s="384"/>
      <c r="E82" s="384"/>
      <c r="F82" s="384"/>
      <c r="G82" s="385">
        <v>5</v>
      </c>
      <c r="H82" s="386" t="s">
        <v>100</v>
      </c>
      <c r="I82" s="287" t="s">
        <v>101</v>
      </c>
      <c r="J82" s="387"/>
      <c r="K82" s="387"/>
      <c r="L82" s="387"/>
      <c r="M82" s="387"/>
      <c r="N82" s="387"/>
      <c r="O82" s="387"/>
      <c r="P82" s="387"/>
      <c r="Q82" s="387"/>
      <c r="R82" s="387"/>
      <c r="S82" s="288"/>
      <c r="T82" s="377"/>
      <c r="U82" s="377"/>
      <c r="V82" s="377"/>
      <c r="X82"/>
    </row>
    <row r="83" spans="1:24">
      <c r="A83" s="369">
        <v>22</v>
      </c>
      <c r="B83" s="370">
        <f>VLOOKUP(A83,申报要素!A:F,3,0)</f>
        <v>9113200000</v>
      </c>
      <c r="C83" s="370"/>
      <c r="D83" s="371" t="str">
        <f>VLOOKUP(A83,申报要素!A:F,2,0)</f>
        <v>手表表带</v>
      </c>
      <c r="E83" s="371"/>
      <c r="F83" s="371"/>
      <c r="G83" s="372"/>
      <c r="H83" s="372"/>
      <c r="I83" s="373">
        <v>32</v>
      </c>
      <c r="J83" s="374"/>
      <c r="K83" s="374" t="s">
        <v>97</v>
      </c>
      <c r="L83" s="374"/>
      <c r="M83" s="375" t="str">
        <f>$G$10</f>
        <v>英国</v>
      </c>
      <c r="N83" s="375"/>
      <c r="O83" s="375"/>
      <c r="P83" s="375" t="s">
        <v>98</v>
      </c>
      <c r="Q83" s="375"/>
      <c r="R83" s="375"/>
      <c r="S83" s="376" t="s">
        <v>99</v>
      </c>
      <c r="T83" s="377">
        <v>0.1</v>
      </c>
      <c r="U83" s="377">
        <v>0.1</v>
      </c>
      <c r="V83" s="377"/>
      <c r="X83"/>
    </row>
    <row r="84" spans="1:24">
      <c r="A84" s="369"/>
      <c r="B84" s="379"/>
      <c r="C84" s="379"/>
      <c r="D84" s="380" t="str">
        <f>VLOOKUP(A83,申报要素!A:F,6,0)</f>
        <v>ZY2-3</v>
      </c>
      <c r="E84" s="380"/>
      <c r="F84" s="380"/>
      <c r="G84" s="381"/>
      <c r="H84" s="381"/>
      <c r="I84" s="373">
        <f>G85*I83</f>
        <v>160</v>
      </c>
      <c r="J84" s="374"/>
      <c r="K84" s="374"/>
      <c r="L84" s="374"/>
      <c r="M84" s="374"/>
      <c r="N84" s="374"/>
      <c r="O84" s="374"/>
      <c r="P84" s="374"/>
      <c r="Q84" s="374"/>
      <c r="R84" s="374"/>
      <c r="S84" s="376"/>
      <c r="T84" s="377"/>
      <c r="U84" s="377"/>
      <c r="V84" s="377"/>
      <c r="X84"/>
    </row>
    <row r="85" spans="1:24">
      <c r="A85" s="383"/>
      <c r="B85" s="286"/>
      <c r="C85" s="286"/>
      <c r="D85" s="384"/>
      <c r="E85" s="384"/>
      <c r="F85" s="384"/>
      <c r="G85" s="385">
        <v>5</v>
      </c>
      <c r="H85" s="386" t="s">
        <v>100</v>
      </c>
      <c r="I85" s="287" t="s">
        <v>101</v>
      </c>
      <c r="J85" s="387"/>
      <c r="K85" s="387"/>
      <c r="L85" s="387"/>
      <c r="M85" s="387"/>
      <c r="N85" s="387"/>
      <c r="O85" s="387"/>
      <c r="P85" s="387"/>
      <c r="Q85" s="387"/>
      <c r="R85" s="387"/>
      <c r="S85" s="288"/>
      <c r="T85" s="377"/>
      <c r="U85" s="377"/>
      <c r="V85" s="377"/>
      <c r="X85"/>
    </row>
    <row r="86" spans="1:24">
      <c r="A86" s="369">
        <v>23</v>
      </c>
      <c r="B86" s="370">
        <f>VLOOKUP(A86,申报要素!A:F,3,0)</f>
        <v>9113200000</v>
      </c>
      <c r="C86" s="370"/>
      <c r="D86" s="371" t="str">
        <f>VLOOKUP(A86,申报要素!A:F,2,0)</f>
        <v>手表表带</v>
      </c>
      <c r="E86" s="371"/>
      <c r="F86" s="371"/>
      <c r="G86" s="372"/>
      <c r="H86" s="372"/>
      <c r="I86" s="373">
        <v>32</v>
      </c>
      <c r="J86" s="374"/>
      <c r="K86" s="374" t="s">
        <v>97</v>
      </c>
      <c r="L86" s="374"/>
      <c r="M86" s="375" t="str">
        <f>$G$10</f>
        <v>英国</v>
      </c>
      <c r="N86" s="375"/>
      <c r="O86" s="375"/>
      <c r="P86" s="375" t="s">
        <v>98</v>
      </c>
      <c r="Q86" s="375"/>
      <c r="R86" s="375"/>
      <c r="S86" s="376" t="s">
        <v>99</v>
      </c>
      <c r="T86" s="377">
        <v>0.1</v>
      </c>
      <c r="U86" s="377">
        <v>0.1</v>
      </c>
      <c r="V86" s="377"/>
      <c r="X86"/>
    </row>
    <row r="87" spans="1:24">
      <c r="A87" s="369"/>
      <c r="B87" s="379"/>
      <c r="C87" s="379"/>
      <c r="D87" s="380" t="str">
        <f>VLOOKUP(A86,申报要素!A:F,6,0)</f>
        <v>ZY2-3</v>
      </c>
      <c r="E87" s="380"/>
      <c r="F87" s="380"/>
      <c r="G87" s="381"/>
      <c r="H87" s="381"/>
      <c r="I87" s="373">
        <f>G88*I86</f>
        <v>160</v>
      </c>
      <c r="J87" s="374"/>
      <c r="K87" s="374"/>
      <c r="L87" s="374"/>
      <c r="M87" s="374"/>
      <c r="N87" s="374"/>
      <c r="O87" s="374"/>
      <c r="P87" s="374"/>
      <c r="Q87" s="374"/>
      <c r="R87" s="374"/>
      <c r="S87" s="376"/>
      <c r="T87" s="377"/>
      <c r="U87" s="377"/>
      <c r="V87" s="377"/>
      <c r="X87"/>
    </row>
    <row r="88" spans="1:24">
      <c r="A88" s="383"/>
      <c r="B88" s="286"/>
      <c r="C88" s="286"/>
      <c r="D88" s="384"/>
      <c r="E88" s="384"/>
      <c r="F88" s="384"/>
      <c r="G88" s="385">
        <v>5</v>
      </c>
      <c r="H88" s="386" t="s">
        <v>100</v>
      </c>
      <c r="I88" s="287" t="s">
        <v>101</v>
      </c>
      <c r="J88" s="387"/>
      <c r="K88" s="387"/>
      <c r="L88" s="387"/>
      <c r="M88" s="387"/>
      <c r="N88" s="387"/>
      <c r="O88" s="387"/>
      <c r="P88" s="387"/>
      <c r="Q88" s="387"/>
      <c r="R88" s="387"/>
      <c r="S88" s="288"/>
      <c r="T88" s="377"/>
      <c r="U88" s="377"/>
      <c r="V88" s="377"/>
      <c r="X88"/>
    </row>
    <row r="89" spans="1:24">
      <c r="A89" s="369">
        <v>24</v>
      </c>
      <c r="B89" s="370">
        <f>VLOOKUP(A89,申报要素!A:F,3,0)</f>
        <v>9113200000</v>
      </c>
      <c r="C89" s="370"/>
      <c r="D89" s="371" t="str">
        <f>VLOOKUP(A89,申报要素!A:F,2,0)</f>
        <v>手表表带</v>
      </c>
      <c r="E89" s="371"/>
      <c r="F89" s="371"/>
      <c r="G89" s="372"/>
      <c r="H89" s="372"/>
      <c r="I89" s="373">
        <v>32</v>
      </c>
      <c r="J89" s="374"/>
      <c r="K89" s="374" t="s">
        <v>97</v>
      </c>
      <c r="L89" s="374"/>
      <c r="M89" s="375" t="str">
        <f>$G$10</f>
        <v>英国</v>
      </c>
      <c r="N89" s="375"/>
      <c r="O89" s="375"/>
      <c r="P89" s="375" t="s">
        <v>98</v>
      </c>
      <c r="Q89" s="375"/>
      <c r="R89" s="375"/>
      <c r="S89" s="376" t="s">
        <v>99</v>
      </c>
      <c r="T89" s="377">
        <v>0.1</v>
      </c>
      <c r="U89" s="377">
        <v>0.1</v>
      </c>
      <c r="V89" s="377"/>
      <c r="X89"/>
    </row>
    <row r="90" spans="1:24">
      <c r="A90" s="369"/>
      <c r="B90" s="379"/>
      <c r="C90" s="379"/>
      <c r="D90" s="380" t="str">
        <f>VLOOKUP(A89,申报要素!A:F,6,0)</f>
        <v>ZY2-3</v>
      </c>
      <c r="E90" s="380"/>
      <c r="F90" s="380"/>
      <c r="G90" s="381"/>
      <c r="H90" s="381"/>
      <c r="I90" s="373">
        <f>G91*I89</f>
        <v>160</v>
      </c>
      <c r="J90" s="374"/>
      <c r="K90" s="374"/>
      <c r="L90" s="374"/>
      <c r="M90" s="374"/>
      <c r="N90" s="374"/>
      <c r="O90" s="374"/>
      <c r="P90" s="374"/>
      <c r="Q90" s="374"/>
      <c r="R90" s="374"/>
      <c r="S90" s="376"/>
      <c r="T90" s="377"/>
      <c r="U90" s="377"/>
      <c r="V90" s="377"/>
      <c r="X90"/>
    </row>
    <row r="91" spans="1:24">
      <c r="A91" s="383"/>
      <c r="B91" s="286"/>
      <c r="C91" s="286"/>
      <c r="D91" s="384"/>
      <c r="E91" s="384"/>
      <c r="F91" s="384"/>
      <c r="G91" s="385">
        <v>5</v>
      </c>
      <c r="H91" s="386" t="s">
        <v>100</v>
      </c>
      <c r="I91" s="287" t="s">
        <v>101</v>
      </c>
      <c r="J91" s="387"/>
      <c r="K91" s="387"/>
      <c r="L91" s="387"/>
      <c r="M91" s="387"/>
      <c r="N91" s="387"/>
      <c r="O91" s="387"/>
      <c r="P91" s="387"/>
      <c r="Q91" s="387"/>
      <c r="R91" s="387"/>
      <c r="S91" s="288"/>
      <c r="T91" s="377"/>
      <c r="U91" s="377"/>
      <c r="V91" s="377"/>
      <c r="X91"/>
    </row>
    <row r="92" spans="1:24">
      <c r="A92" s="369">
        <v>25</v>
      </c>
      <c r="B92" s="370">
        <f>VLOOKUP(A92,申报要素!A:F,3,0)</f>
        <v>9113200000</v>
      </c>
      <c r="C92" s="370"/>
      <c r="D92" s="371" t="str">
        <f>VLOOKUP(A92,申报要素!A:F,2,0)</f>
        <v>手表表带</v>
      </c>
      <c r="E92" s="371"/>
      <c r="F92" s="371"/>
      <c r="G92" s="372"/>
      <c r="H92" s="372"/>
      <c r="I92" s="373">
        <v>32</v>
      </c>
      <c r="J92" s="374"/>
      <c r="K92" s="374" t="s">
        <v>97</v>
      </c>
      <c r="L92" s="374"/>
      <c r="M92" s="375" t="str">
        <f>$G$10</f>
        <v>英国</v>
      </c>
      <c r="N92" s="375"/>
      <c r="O92" s="375"/>
      <c r="P92" s="375" t="s">
        <v>98</v>
      </c>
      <c r="Q92" s="375"/>
      <c r="R92" s="375"/>
      <c r="S92" s="376" t="s">
        <v>99</v>
      </c>
      <c r="T92" s="377">
        <v>0.1</v>
      </c>
      <c r="U92" s="377">
        <v>0.1</v>
      </c>
      <c r="V92" s="377"/>
      <c r="X92"/>
    </row>
    <row r="93" spans="1:24">
      <c r="A93" s="369"/>
      <c r="B93" s="379"/>
      <c r="C93" s="379"/>
      <c r="D93" s="380" t="str">
        <f>VLOOKUP(A92,申报要素!A:F,6,0)</f>
        <v>ZY2-3</v>
      </c>
      <c r="E93" s="380"/>
      <c r="F93" s="380"/>
      <c r="G93" s="381"/>
      <c r="H93" s="381"/>
      <c r="I93" s="373">
        <f>G94*I92</f>
        <v>160</v>
      </c>
      <c r="J93" s="374"/>
      <c r="K93" s="374"/>
      <c r="L93" s="374"/>
      <c r="M93" s="374"/>
      <c r="N93" s="374"/>
      <c r="O93" s="374"/>
      <c r="P93" s="374"/>
      <c r="Q93" s="374"/>
      <c r="R93" s="374"/>
      <c r="S93" s="376"/>
      <c r="T93" s="377"/>
      <c r="U93" s="377"/>
      <c r="V93" s="377"/>
      <c r="X93"/>
    </row>
    <row r="94" spans="1:24">
      <c r="A94" s="383"/>
      <c r="B94" s="286"/>
      <c r="C94" s="286"/>
      <c r="D94" s="384"/>
      <c r="E94" s="384"/>
      <c r="F94" s="384"/>
      <c r="G94" s="385">
        <v>5</v>
      </c>
      <c r="H94" s="386" t="s">
        <v>100</v>
      </c>
      <c r="I94" s="287" t="s">
        <v>101</v>
      </c>
      <c r="J94" s="387"/>
      <c r="K94" s="387"/>
      <c r="L94" s="387"/>
      <c r="M94" s="387"/>
      <c r="N94" s="387"/>
      <c r="O94" s="387"/>
      <c r="P94" s="387"/>
      <c r="Q94" s="387"/>
      <c r="R94" s="387"/>
      <c r="S94" s="288"/>
      <c r="T94" s="377"/>
      <c r="U94" s="377"/>
      <c r="V94" s="377"/>
      <c r="X94"/>
    </row>
    <row r="95" spans="1:24">
      <c r="A95" s="369">
        <v>26</v>
      </c>
      <c r="B95" s="370">
        <f>VLOOKUP(A95,申报要素!A:F,3,0)</f>
        <v>9113200000</v>
      </c>
      <c r="C95" s="370"/>
      <c r="D95" s="371" t="str">
        <f>VLOOKUP(A95,申报要素!A:F,2,0)</f>
        <v>手表表带</v>
      </c>
      <c r="E95" s="371"/>
      <c r="F95" s="371"/>
      <c r="G95" s="372"/>
      <c r="H95" s="372"/>
      <c r="I95" s="373">
        <v>32</v>
      </c>
      <c r="J95" s="374"/>
      <c r="K95" s="374" t="s">
        <v>97</v>
      </c>
      <c r="L95" s="374"/>
      <c r="M95" s="375" t="str">
        <f>$G$10</f>
        <v>英国</v>
      </c>
      <c r="N95" s="375"/>
      <c r="O95" s="375"/>
      <c r="P95" s="375" t="s">
        <v>98</v>
      </c>
      <c r="Q95" s="375"/>
      <c r="R95" s="375"/>
      <c r="S95" s="376" t="s">
        <v>99</v>
      </c>
      <c r="T95" s="377">
        <v>0.1</v>
      </c>
      <c r="U95" s="377">
        <v>0.1</v>
      </c>
      <c r="V95" s="377"/>
      <c r="X95"/>
    </row>
    <row r="96" spans="1:24">
      <c r="A96" s="369"/>
      <c r="B96" s="379"/>
      <c r="C96" s="379"/>
      <c r="D96" s="380" t="str">
        <f>VLOOKUP(A95,申报要素!A:F,6,0)</f>
        <v>ZY2-3</v>
      </c>
      <c r="E96" s="380"/>
      <c r="F96" s="380"/>
      <c r="G96" s="381"/>
      <c r="H96" s="381"/>
      <c r="I96" s="373">
        <f>G97*I95</f>
        <v>160</v>
      </c>
      <c r="J96" s="374"/>
      <c r="K96" s="374"/>
      <c r="L96" s="374"/>
      <c r="M96" s="374"/>
      <c r="N96" s="374"/>
      <c r="O96" s="374"/>
      <c r="P96" s="374"/>
      <c r="Q96" s="374"/>
      <c r="R96" s="374"/>
      <c r="S96" s="376"/>
      <c r="T96" s="377"/>
      <c r="U96" s="377"/>
      <c r="V96" s="377"/>
      <c r="X96"/>
    </row>
    <row r="97" spans="1:24">
      <c r="A97" s="383"/>
      <c r="B97" s="286"/>
      <c r="C97" s="286"/>
      <c r="D97" s="384"/>
      <c r="E97" s="384"/>
      <c r="F97" s="384"/>
      <c r="G97" s="385">
        <v>5</v>
      </c>
      <c r="H97" s="386" t="s">
        <v>100</v>
      </c>
      <c r="I97" s="287" t="s">
        <v>101</v>
      </c>
      <c r="J97" s="387"/>
      <c r="K97" s="387"/>
      <c r="L97" s="387"/>
      <c r="M97" s="387"/>
      <c r="N97" s="387"/>
      <c r="O97" s="387"/>
      <c r="P97" s="387"/>
      <c r="Q97" s="387"/>
      <c r="R97" s="387"/>
      <c r="S97" s="288"/>
      <c r="T97" s="377"/>
      <c r="U97" s="377"/>
      <c r="V97" s="377"/>
      <c r="X97"/>
    </row>
    <row r="98" spans="1:24">
      <c r="A98" s="369">
        <v>27</v>
      </c>
      <c r="B98" s="370">
        <f>VLOOKUP(A98,申报要素!A:F,3,0)</f>
        <v>9113200000</v>
      </c>
      <c r="C98" s="370"/>
      <c r="D98" s="371" t="str">
        <f>VLOOKUP(A98,申报要素!A:F,2,0)</f>
        <v>手表表带</v>
      </c>
      <c r="E98" s="371"/>
      <c r="F98" s="371"/>
      <c r="G98" s="372"/>
      <c r="H98" s="372"/>
      <c r="I98" s="373">
        <v>32</v>
      </c>
      <c r="J98" s="374"/>
      <c r="K98" s="374" t="s">
        <v>97</v>
      </c>
      <c r="L98" s="374"/>
      <c r="M98" s="375" t="str">
        <f>$G$10</f>
        <v>英国</v>
      </c>
      <c r="N98" s="375"/>
      <c r="O98" s="375"/>
      <c r="P98" s="375" t="s">
        <v>98</v>
      </c>
      <c r="Q98" s="375"/>
      <c r="R98" s="375"/>
      <c r="S98" s="376" t="s">
        <v>99</v>
      </c>
      <c r="T98" s="377">
        <v>0.1</v>
      </c>
      <c r="U98" s="377">
        <v>0.1</v>
      </c>
      <c r="V98" s="377"/>
      <c r="X98"/>
    </row>
    <row r="99" spans="1:24">
      <c r="A99" s="369"/>
      <c r="B99" s="379"/>
      <c r="C99" s="379"/>
      <c r="D99" s="380" t="str">
        <f>VLOOKUP(A98,申报要素!A:F,6,0)</f>
        <v>ZY2-3</v>
      </c>
      <c r="E99" s="380"/>
      <c r="F99" s="380"/>
      <c r="G99" s="381"/>
      <c r="H99" s="381"/>
      <c r="I99" s="373">
        <f>G100*I98</f>
        <v>160</v>
      </c>
      <c r="J99" s="374"/>
      <c r="K99" s="374"/>
      <c r="L99" s="374"/>
      <c r="M99" s="374"/>
      <c r="N99" s="374"/>
      <c r="O99" s="374"/>
      <c r="P99" s="374"/>
      <c r="Q99" s="374"/>
      <c r="R99" s="374"/>
      <c r="S99" s="376"/>
      <c r="T99" s="377"/>
      <c r="U99" s="377"/>
      <c r="V99" s="377"/>
      <c r="X99"/>
    </row>
    <row r="100" spans="1:24">
      <c r="A100" s="383"/>
      <c r="B100" s="286"/>
      <c r="C100" s="286"/>
      <c r="D100" s="384"/>
      <c r="E100" s="384"/>
      <c r="F100" s="384"/>
      <c r="G100" s="385">
        <v>5</v>
      </c>
      <c r="H100" s="386" t="s">
        <v>100</v>
      </c>
      <c r="I100" s="287" t="s">
        <v>101</v>
      </c>
      <c r="J100" s="387"/>
      <c r="K100" s="387"/>
      <c r="L100" s="387"/>
      <c r="M100" s="387"/>
      <c r="N100" s="387"/>
      <c r="O100" s="387"/>
      <c r="P100" s="387"/>
      <c r="Q100" s="387"/>
      <c r="R100" s="387"/>
      <c r="S100" s="288"/>
      <c r="T100" s="377"/>
      <c r="U100" s="377"/>
      <c r="V100" s="377"/>
      <c r="X100"/>
    </row>
    <row r="101" spans="1:24">
      <c r="A101" s="369">
        <v>28</v>
      </c>
      <c r="B101" s="370">
        <f>VLOOKUP(A101,申报要素!A:F,3,0)</f>
        <v>9113200000</v>
      </c>
      <c r="C101" s="370"/>
      <c r="D101" s="371" t="str">
        <f>VLOOKUP(A101,申报要素!A:F,2,0)</f>
        <v>手表表带</v>
      </c>
      <c r="E101" s="371"/>
      <c r="F101" s="371"/>
      <c r="G101" s="372"/>
      <c r="H101" s="372"/>
      <c r="I101" s="373">
        <v>32</v>
      </c>
      <c r="J101" s="374"/>
      <c r="K101" s="374" t="s">
        <v>97</v>
      </c>
      <c r="L101" s="374"/>
      <c r="M101" s="375" t="str">
        <f>$G$10</f>
        <v>英国</v>
      </c>
      <c r="N101" s="375"/>
      <c r="O101" s="375"/>
      <c r="P101" s="375" t="s">
        <v>98</v>
      </c>
      <c r="Q101" s="375"/>
      <c r="R101" s="375"/>
      <c r="S101" s="376" t="s">
        <v>99</v>
      </c>
      <c r="T101" s="377">
        <v>0.1</v>
      </c>
      <c r="U101" s="377">
        <v>0.1</v>
      </c>
      <c r="V101" s="377"/>
      <c r="X101"/>
    </row>
    <row r="102" spans="1:24">
      <c r="A102" s="369"/>
      <c r="B102" s="379"/>
      <c r="C102" s="379"/>
      <c r="D102" s="380" t="str">
        <f>VLOOKUP(A101,申报要素!A:F,6,0)</f>
        <v>ZY2-3</v>
      </c>
      <c r="E102" s="380"/>
      <c r="F102" s="380"/>
      <c r="G102" s="381"/>
      <c r="H102" s="381"/>
      <c r="I102" s="373">
        <f>G103*I101</f>
        <v>160</v>
      </c>
      <c r="J102" s="374"/>
      <c r="K102" s="374"/>
      <c r="L102" s="374"/>
      <c r="M102" s="374"/>
      <c r="N102" s="374"/>
      <c r="O102" s="374"/>
      <c r="P102" s="374"/>
      <c r="Q102" s="374"/>
      <c r="R102" s="374"/>
      <c r="S102" s="376"/>
      <c r="T102" s="377"/>
      <c r="U102" s="377"/>
      <c r="V102" s="377"/>
      <c r="X102"/>
    </row>
    <row r="103" spans="1:24">
      <c r="A103" s="383"/>
      <c r="B103" s="286"/>
      <c r="C103" s="286"/>
      <c r="D103" s="384"/>
      <c r="E103" s="384"/>
      <c r="F103" s="384"/>
      <c r="G103" s="385">
        <v>5</v>
      </c>
      <c r="H103" s="386" t="s">
        <v>100</v>
      </c>
      <c r="I103" s="287" t="s">
        <v>101</v>
      </c>
      <c r="J103" s="387"/>
      <c r="K103" s="387"/>
      <c r="L103" s="387"/>
      <c r="M103" s="387"/>
      <c r="N103" s="387"/>
      <c r="O103" s="387"/>
      <c r="P103" s="387"/>
      <c r="Q103" s="387"/>
      <c r="R103" s="387"/>
      <c r="S103" s="288"/>
      <c r="T103" s="377"/>
      <c r="U103" s="377"/>
      <c r="V103" s="377"/>
      <c r="X103"/>
    </row>
    <row r="104" spans="1:24">
      <c r="A104" s="369">
        <v>29</v>
      </c>
      <c r="B104" s="370">
        <f>VLOOKUP(A104,申报要素!A:F,3,0)</f>
        <v>9113200000</v>
      </c>
      <c r="C104" s="370"/>
      <c r="D104" s="371" t="str">
        <f>VLOOKUP(A104,申报要素!A:F,2,0)</f>
        <v>手表表带</v>
      </c>
      <c r="E104" s="371"/>
      <c r="F104" s="371"/>
      <c r="G104" s="372"/>
      <c r="H104" s="372"/>
      <c r="I104" s="373">
        <v>32</v>
      </c>
      <c r="J104" s="374"/>
      <c r="K104" s="374" t="s">
        <v>97</v>
      </c>
      <c r="L104" s="374"/>
      <c r="M104" s="375" t="str">
        <f>$G$10</f>
        <v>英国</v>
      </c>
      <c r="N104" s="375"/>
      <c r="O104" s="375"/>
      <c r="P104" s="375" t="s">
        <v>98</v>
      </c>
      <c r="Q104" s="375"/>
      <c r="R104" s="375"/>
      <c r="S104" s="376" t="s">
        <v>99</v>
      </c>
      <c r="T104" s="377">
        <v>0.1</v>
      </c>
      <c r="U104" s="377">
        <v>0.1</v>
      </c>
      <c r="V104" s="377"/>
      <c r="X104"/>
    </row>
    <row r="105" spans="1:24">
      <c r="A105" s="369"/>
      <c r="B105" s="379"/>
      <c r="C105" s="379"/>
      <c r="D105" s="380" t="str">
        <f>VLOOKUP(A104,申报要素!A:F,6,0)</f>
        <v>ZY2-3</v>
      </c>
      <c r="E105" s="380"/>
      <c r="F105" s="380"/>
      <c r="G105" s="381"/>
      <c r="H105" s="381"/>
      <c r="I105" s="373">
        <f>G106*I104</f>
        <v>160</v>
      </c>
      <c r="J105" s="374"/>
      <c r="K105" s="374"/>
      <c r="L105" s="374"/>
      <c r="M105" s="374"/>
      <c r="N105" s="374"/>
      <c r="O105" s="374"/>
      <c r="P105" s="374"/>
      <c r="Q105" s="374"/>
      <c r="R105" s="374"/>
      <c r="S105" s="376"/>
      <c r="T105" s="377"/>
      <c r="U105" s="377"/>
      <c r="V105" s="377"/>
      <c r="X105"/>
    </row>
    <row r="106" spans="1:24">
      <c r="A106" s="383"/>
      <c r="B106" s="286"/>
      <c r="C106" s="286"/>
      <c r="D106" s="384"/>
      <c r="E106" s="384"/>
      <c r="F106" s="384"/>
      <c r="G106" s="385">
        <v>5</v>
      </c>
      <c r="H106" s="386" t="s">
        <v>100</v>
      </c>
      <c r="I106" s="287" t="s">
        <v>101</v>
      </c>
      <c r="J106" s="387"/>
      <c r="K106" s="387"/>
      <c r="L106" s="387"/>
      <c r="M106" s="387"/>
      <c r="N106" s="387"/>
      <c r="O106" s="387"/>
      <c r="P106" s="387"/>
      <c r="Q106" s="387"/>
      <c r="R106" s="387"/>
      <c r="S106" s="288"/>
      <c r="T106" s="377"/>
      <c r="U106" s="377"/>
      <c r="V106" s="377"/>
      <c r="X106"/>
    </row>
    <row r="107" spans="1:24">
      <c r="A107" s="369">
        <v>30</v>
      </c>
      <c r="B107" s="370">
        <f>VLOOKUP(A107,申报要素!A:F,3,0)</f>
        <v>9113200000</v>
      </c>
      <c r="C107" s="370"/>
      <c r="D107" s="371" t="str">
        <f>VLOOKUP(A107,申报要素!A:F,2,0)</f>
        <v>手表表带</v>
      </c>
      <c r="E107" s="371"/>
      <c r="F107" s="371"/>
      <c r="G107" s="372"/>
      <c r="H107" s="372"/>
      <c r="I107" s="373">
        <v>32</v>
      </c>
      <c r="J107" s="374"/>
      <c r="K107" s="374" t="s">
        <v>97</v>
      </c>
      <c r="L107" s="374"/>
      <c r="M107" s="375" t="str">
        <f>$G$10</f>
        <v>英国</v>
      </c>
      <c r="N107" s="375"/>
      <c r="O107" s="375"/>
      <c r="P107" s="375" t="s">
        <v>98</v>
      </c>
      <c r="Q107" s="375"/>
      <c r="R107" s="375"/>
      <c r="S107" s="376" t="s">
        <v>99</v>
      </c>
      <c r="T107" s="377">
        <v>0.1</v>
      </c>
      <c r="U107" s="377">
        <v>0.1</v>
      </c>
      <c r="V107" s="377"/>
    </row>
    <row r="108" spans="1:24">
      <c r="A108" s="369"/>
      <c r="B108" s="379"/>
      <c r="C108" s="379"/>
      <c r="D108" s="380" t="str">
        <f>VLOOKUP(A107,申报要素!A:F,6,0)</f>
        <v>ZY2-3</v>
      </c>
      <c r="E108" s="380"/>
      <c r="F108" s="380"/>
      <c r="G108" s="381"/>
      <c r="H108" s="381"/>
      <c r="I108" s="373">
        <f>G109*I107</f>
        <v>160</v>
      </c>
      <c r="J108" s="374"/>
      <c r="K108" s="374"/>
      <c r="L108" s="374"/>
      <c r="M108" s="374"/>
      <c r="N108" s="374"/>
      <c r="O108" s="374"/>
      <c r="P108" s="374"/>
      <c r="Q108" s="374"/>
      <c r="R108" s="374"/>
      <c r="S108" s="376"/>
      <c r="T108" s="377"/>
      <c r="U108" s="377"/>
      <c r="V108" s="377"/>
    </row>
    <row r="109" spans="1:24">
      <c r="A109" s="383"/>
      <c r="B109" s="286"/>
      <c r="C109" s="286"/>
      <c r="D109" s="384"/>
      <c r="E109" s="384"/>
      <c r="F109" s="384"/>
      <c r="G109" s="385">
        <v>5</v>
      </c>
      <c r="H109" s="386" t="s">
        <v>100</v>
      </c>
      <c r="I109" s="287" t="s">
        <v>101</v>
      </c>
      <c r="J109" s="387"/>
      <c r="K109" s="387"/>
      <c r="L109" s="387"/>
      <c r="M109" s="387"/>
      <c r="N109" s="387"/>
      <c r="O109" s="387"/>
      <c r="P109" s="387"/>
      <c r="Q109" s="387"/>
      <c r="R109" s="387"/>
      <c r="S109" s="288"/>
      <c r="T109" s="377"/>
      <c r="U109" s="377"/>
      <c r="V109" s="377"/>
    </row>
    <row r="110" spans="1:24">
      <c r="A110" s="369">
        <v>31</v>
      </c>
      <c r="B110" s="370">
        <f>VLOOKUP(A110,申报要素!A:F,3,0)</f>
        <v>9113200000</v>
      </c>
      <c r="C110" s="370"/>
      <c r="D110" s="371" t="str">
        <f>VLOOKUP(A110,申报要素!A:F,2,0)</f>
        <v>手表表带</v>
      </c>
      <c r="E110" s="371"/>
      <c r="F110" s="371"/>
      <c r="G110" s="372"/>
      <c r="H110" s="372"/>
      <c r="I110" s="373">
        <v>32</v>
      </c>
      <c r="J110" s="374"/>
      <c r="K110" s="374" t="s">
        <v>97</v>
      </c>
      <c r="L110" s="374"/>
      <c r="M110" s="375" t="str">
        <f>$G$10</f>
        <v>英国</v>
      </c>
      <c r="N110" s="375"/>
      <c r="O110" s="375"/>
      <c r="P110" s="375" t="s">
        <v>98</v>
      </c>
      <c r="Q110" s="375"/>
      <c r="R110" s="375"/>
      <c r="S110" s="376" t="s">
        <v>99</v>
      </c>
      <c r="T110" s="377">
        <v>0.1</v>
      </c>
      <c r="U110" s="377">
        <v>0.1</v>
      </c>
      <c r="V110" s="377"/>
    </row>
    <row r="111" spans="1:24">
      <c r="A111" s="369"/>
      <c r="B111" s="379"/>
      <c r="C111" s="379"/>
      <c r="D111" s="380" t="str">
        <f>VLOOKUP(A110,申报要素!A:F,6,0)</f>
        <v>ZY2-3</v>
      </c>
      <c r="E111" s="380"/>
      <c r="F111" s="380"/>
      <c r="G111" s="381"/>
      <c r="H111" s="381"/>
      <c r="I111" s="373">
        <f>G112*I110</f>
        <v>160</v>
      </c>
      <c r="J111" s="374"/>
      <c r="K111" s="374"/>
      <c r="L111" s="374"/>
      <c r="M111" s="374"/>
      <c r="N111" s="374"/>
      <c r="O111" s="374"/>
      <c r="P111" s="374"/>
      <c r="Q111" s="374"/>
      <c r="R111" s="374"/>
      <c r="S111" s="376"/>
      <c r="T111" s="377"/>
      <c r="U111" s="377"/>
      <c r="V111" s="377"/>
    </row>
    <row r="112" spans="1:24">
      <c r="A112" s="383"/>
      <c r="B112" s="286"/>
      <c r="C112" s="286"/>
      <c r="D112" s="384"/>
      <c r="E112" s="384"/>
      <c r="F112" s="384"/>
      <c r="G112" s="385">
        <v>5</v>
      </c>
      <c r="H112" s="386" t="s">
        <v>100</v>
      </c>
      <c r="I112" s="287" t="s">
        <v>101</v>
      </c>
      <c r="J112" s="387"/>
      <c r="K112" s="387"/>
      <c r="L112" s="387"/>
      <c r="M112" s="387"/>
      <c r="N112" s="387"/>
      <c r="O112" s="387"/>
      <c r="P112" s="387"/>
      <c r="Q112" s="387"/>
      <c r="R112" s="387"/>
      <c r="S112" s="288"/>
      <c r="T112" s="377"/>
      <c r="U112" s="377"/>
      <c r="V112" s="377"/>
    </row>
    <row r="113" spans="1:22">
      <c r="A113" s="369">
        <v>32</v>
      </c>
      <c r="B113" s="370">
        <f>VLOOKUP(A113,申报要素!A:F,3,0)</f>
        <v>9113200000</v>
      </c>
      <c r="C113" s="370"/>
      <c r="D113" s="371" t="str">
        <f>VLOOKUP(A113,申报要素!A:F,2,0)</f>
        <v>手表表带</v>
      </c>
      <c r="E113" s="371"/>
      <c r="F113" s="371"/>
      <c r="G113" s="372"/>
      <c r="H113" s="372"/>
      <c r="I113" s="373">
        <v>32</v>
      </c>
      <c r="J113" s="374"/>
      <c r="K113" s="374" t="s">
        <v>97</v>
      </c>
      <c r="L113" s="374"/>
      <c r="M113" s="375" t="str">
        <f>$G$10</f>
        <v>英国</v>
      </c>
      <c r="N113" s="375"/>
      <c r="O113" s="375"/>
      <c r="P113" s="375" t="s">
        <v>98</v>
      </c>
      <c r="Q113" s="375"/>
      <c r="R113" s="375"/>
      <c r="S113" s="376" t="s">
        <v>99</v>
      </c>
      <c r="T113" s="377">
        <v>0.1</v>
      </c>
      <c r="U113" s="377">
        <v>0.1</v>
      </c>
      <c r="V113" s="377"/>
    </row>
    <row r="114" spans="1:22">
      <c r="A114" s="369"/>
      <c r="B114" s="379"/>
      <c r="C114" s="379"/>
      <c r="D114" s="380" t="str">
        <f>VLOOKUP(A113,申报要素!A:F,6,0)</f>
        <v>ZY2-3</v>
      </c>
      <c r="E114" s="380"/>
      <c r="F114" s="380"/>
      <c r="G114" s="381"/>
      <c r="H114" s="381"/>
      <c r="I114" s="373">
        <f>G115*I113</f>
        <v>160</v>
      </c>
      <c r="J114" s="374"/>
      <c r="K114" s="374"/>
      <c r="L114" s="374"/>
      <c r="M114" s="374"/>
      <c r="N114" s="374"/>
      <c r="O114" s="374"/>
      <c r="P114" s="374"/>
      <c r="Q114" s="374"/>
      <c r="R114" s="374"/>
      <c r="S114" s="376"/>
      <c r="T114" s="377"/>
      <c r="U114" s="377"/>
      <c r="V114" s="377"/>
    </row>
    <row r="115" spans="1:22">
      <c r="A115" s="383"/>
      <c r="B115" s="286"/>
      <c r="C115" s="286"/>
      <c r="D115" s="384"/>
      <c r="E115" s="384"/>
      <c r="F115" s="384"/>
      <c r="G115" s="385">
        <v>5</v>
      </c>
      <c r="H115" s="386" t="s">
        <v>100</v>
      </c>
      <c r="I115" s="287" t="s">
        <v>101</v>
      </c>
      <c r="J115" s="387"/>
      <c r="K115" s="387"/>
      <c r="L115" s="387"/>
      <c r="M115" s="387"/>
      <c r="N115" s="387"/>
      <c r="O115" s="387"/>
      <c r="P115" s="387"/>
      <c r="Q115" s="387"/>
      <c r="R115" s="387"/>
      <c r="S115" s="288"/>
      <c r="T115" s="377"/>
      <c r="U115" s="377"/>
      <c r="V115" s="377"/>
    </row>
    <row r="116" spans="1:22">
      <c r="A116" s="369">
        <v>33</v>
      </c>
      <c r="B116" s="370">
        <f>VLOOKUP(A116,申报要素!A:F,3,0)</f>
        <v>9113200000</v>
      </c>
      <c r="C116" s="370"/>
      <c r="D116" s="371" t="str">
        <f>VLOOKUP(A116,申报要素!A:F,2,0)</f>
        <v>手表表带</v>
      </c>
      <c r="E116" s="371"/>
      <c r="F116" s="371"/>
      <c r="G116" s="372"/>
      <c r="H116" s="372"/>
      <c r="I116" s="373">
        <v>32</v>
      </c>
      <c r="J116" s="374"/>
      <c r="K116" s="374" t="s">
        <v>97</v>
      </c>
      <c r="L116" s="374"/>
      <c r="M116" s="375" t="str">
        <f>$G$10</f>
        <v>英国</v>
      </c>
      <c r="N116" s="375"/>
      <c r="O116" s="375"/>
      <c r="P116" s="375" t="s">
        <v>98</v>
      </c>
      <c r="Q116" s="375"/>
      <c r="R116" s="375"/>
      <c r="S116" s="376" t="s">
        <v>99</v>
      </c>
      <c r="T116" s="377">
        <v>0.1</v>
      </c>
      <c r="U116" s="377">
        <v>0.1</v>
      </c>
      <c r="V116" s="377"/>
    </row>
    <row r="117" spans="1:22">
      <c r="A117" s="369"/>
      <c r="B117" s="379"/>
      <c r="C117" s="379"/>
      <c r="D117" s="380" t="str">
        <f>VLOOKUP(A116,申报要素!A:F,6,0)</f>
        <v>ZY2-3</v>
      </c>
      <c r="E117" s="380"/>
      <c r="F117" s="380"/>
      <c r="G117" s="381"/>
      <c r="H117" s="381"/>
      <c r="I117" s="373">
        <f>G118*I116</f>
        <v>160</v>
      </c>
      <c r="J117" s="374"/>
      <c r="K117" s="374"/>
      <c r="L117" s="374"/>
      <c r="M117" s="374"/>
      <c r="N117" s="374"/>
      <c r="O117" s="374"/>
      <c r="P117" s="374"/>
      <c r="Q117" s="374"/>
      <c r="R117" s="374"/>
      <c r="S117" s="376"/>
      <c r="T117" s="377"/>
      <c r="U117" s="377"/>
      <c r="V117" s="377"/>
    </row>
    <row r="118" spans="1:22">
      <c r="A118" s="383"/>
      <c r="B118" s="286"/>
      <c r="C118" s="286"/>
      <c r="D118" s="384"/>
      <c r="E118" s="384"/>
      <c r="F118" s="384"/>
      <c r="G118" s="385">
        <v>5</v>
      </c>
      <c r="H118" s="386" t="s">
        <v>100</v>
      </c>
      <c r="I118" s="287" t="s">
        <v>101</v>
      </c>
      <c r="J118" s="387"/>
      <c r="K118" s="387"/>
      <c r="L118" s="387"/>
      <c r="M118" s="387"/>
      <c r="N118" s="387"/>
      <c r="O118" s="387"/>
      <c r="P118" s="387"/>
      <c r="Q118" s="387"/>
      <c r="R118" s="387"/>
      <c r="S118" s="288"/>
      <c r="T118" s="377"/>
      <c r="U118" s="377"/>
      <c r="V118" s="377"/>
    </row>
    <row r="119" spans="1:22">
      <c r="A119" s="369">
        <v>34</v>
      </c>
      <c r="B119" s="370">
        <f>VLOOKUP(A119,申报要素!A:F,3,0)</f>
        <v>9113200000</v>
      </c>
      <c r="C119" s="370"/>
      <c r="D119" s="371" t="str">
        <f>VLOOKUP(A119,申报要素!A:F,2,0)</f>
        <v>手表表带</v>
      </c>
      <c r="E119" s="371"/>
      <c r="F119" s="371"/>
      <c r="G119" s="372"/>
      <c r="H119" s="372"/>
      <c r="I119" s="373">
        <v>32</v>
      </c>
      <c r="J119" s="374"/>
      <c r="K119" s="374" t="s">
        <v>97</v>
      </c>
      <c r="L119" s="374"/>
      <c r="M119" s="375" t="str">
        <f>$G$10</f>
        <v>英国</v>
      </c>
      <c r="N119" s="375"/>
      <c r="O119" s="375"/>
      <c r="P119" s="375" t="s">
        <v>98</v>
      </c>
      <c r="Q119" s="375"/>
      <c r="R119" s="375"/>
      <c r="S119" s="376" t="s">
        <v>99</v>
      </c>
      <c r="T119" s="377">
        <v>0.1</v>
      </c>
      <c r="U119" s="377">
        <v>0.1</v>
      </c>
      <c r="V119" s="377"/>
    </row>
    <row r="120" spans="1:22">
      <c r="A120" s="369"/>
      <c r="B120" s="379"/>
      <c r="C120" s="379"/>
      <c r="D120" s="380" t="str">
        <f>VLOOKUP(A119,申报要素!A:F,6,0)</f>
        <v>ZY2-3</v>
      </c>
      <c r="E120" s="380"/>
      <c r="F120" s="380"/>
      <c r="G120" s="381"/>
      <c r="H120" s="381"/>
      <c r="I120" s="373">
        <f>G121*I119</f>
        <v>160</v>
      </c>
      <c r="J120" s="374"/>
      <c r="K120" s="374"/>
      <c r="L120" s="374"/>
      <c r="M120" s="374"/>
      <c r="N120" s="374"/>
      <c r="O120" s="374"/>
      <c r="P120" s="374"/>
      <c r="Q120" s="374"/>
      <c r="R120" s="374"/>
      <c r="S120" s="376"/>
      <c r="T120" s="377"/>
      <c r="U120" s="377"/>
      <c r="V120" s="377"/>
    </row>
    <row r="121" spans="1:22">
      <c r="A121" s="383"/>
      <c r="B121" s="286"/>
      <c r="C121" s="286"/>
      <c r="D121" s="384"/>
      <c r="E121" s="384"/>
      <c r="F121" s="384"/>
      <c r="G121" s="385">
        <v>5</v>
      </c>
      <c r="H121" s="386" t="s">
        <v>100</v>
      </c>
      <c r="I121" s="287" t="s">
        <v>101</v>
      </c>
      <c r="J121" s="387"/>
      <c r="K121" s="387"/>
      <c r="L121" s="387"/>
      <c r="M121" s="387"/>
      <c r="N121" s="387"/>
      <c r="O121" s="387"/>
      <c r="P121" s="387"/>
      <c r="Q121" s="387"/>
      <c r="R121" s="387"/>
      <c r="S121" s="288"/>
      <c r="T121" s="377"/>
      <c r="U121" s="377"/>
      <c r="V121" s="377"/>
    </row>
    <row r="122" spans="1:22">
      <c r="A122" s="369">
        <v>35</v>
      </c>
      <c r="B122" s="370">
        <f>VLOOKUP(A122,申报要素!A:F,3,0)</f>
        <v>9113200000</v>
      </c>
      <c r="C122" s="370"/>
      <c r="D122" s="371" t="str">
        <f>VLOOKUP(A122,申报要素!A:F,2,0)</f>
        <v>手表表带</v>
      </c>
      <c r="E122" s="371"/>
      <c r="F122" s="371"/>
      <c r="G122" s="372"/>
      <c r="H122" s="372"/>
      <c r="I122" s="373">
        <v>32</v>
      </c>
      <c r="J122" s="374"/>
      <c r="K122" s="374" t="s">
        <v>97</v>
      </c>
      <c r="L122" s="374"/>
      <c r="M122" s="375" t="str">
        <f>$G$10</f>
        <v>英国</v>
      </c>
      <c r="N122" s="375"/>
      <c r="O122" s="375"/>
      <c r="P122" s="375" t="s">
        <v>98</v>
      </c>
      <c r="Q122" s="375"/>
      <c r="R122" s="375"/>
      <c r="S122" s="376" t="s">
        <v>99</v>
      </c>
      <c r="T122" s="377">
        <v>0.1</v>
      </c>
      <c r="U122" s="377">
        <v>0.1</v>
      </c>
      <c r="V122" s="377"/>
    </row>
    <row r="123" spans="1:22">
      <c r="A123" s="369"/>
      <c r="B123" s="379"/>
      <c r="C123" s="379"/>
      <c r="D123" s="380" t="str">
        <f>VLOOKUP(A122,申报要素!A:F,6,0)</f>
        <v>ZY2-3</v>
      </c>
      <c r="E123" s="380"/>
      <c r="F123" s="380"/>
      <c r="G123" s="381"/>
      <c r="H123" s="381"/>
      <c r="I123" s="373">
        <f>G124*I122</f>
        <v>160</v>
      </c>
      <c r="J123" s="374"/>
      <c r="K123" s="374"/>
      <c r="L123" s="374"/>
      <c r="M123" s="374"/>
      <c r="N123" s="374"/>
      <c r="O123" s="374"/>
      <c r="P123" s="374"/>
      <c r="Q123" s="374"/>
      <c r="R123" s="374"/>
      <c r="S123" s="376"/>
      <c r="T123" s="377"/>
      <c r="U123" s="377"/>
      <c r="V123" s="377"/>
    </row>
    <row r="124" spans="1:22">
      <c r="A124" s="383"/>
      <c r="B124" s="286"/>
      <c r="C124" s="286"/>
      <c r="D124" s="384"/>
      <c r="E124" s="384"/>
      <c r="F124" s="384"/>
      <c r="G124" s="385">
        <v>5</v>
      </c>
      <c r="H124" s="386" t="s">
        <v>100</v>
      </c>
      <c r="I124" s="287" t="s">
        <v>101</v>
      </c>
      <c r="J124" s="387"/>
      <c r="K124" s="387"/>
      <c r="L124" s="387"/>
      <c r="M124" s="387"/>
      <c r="N124" s="387"/>
      <c r="O124" s="387"/>
      <c r="P124" s="387"/>
      <c r="Q124" s="387"/>
      <c r="R124" s="387"/>
      <c r="S124" s="288"/>
      <c r="T124" s="377"/>
      <c r="U124" s="377"/>
      <c r="V124" s="377"/>
    </row>
    <row r="125" spans="1:22">
      <c r="A125" s="369">
        <v>36</v>
      </c>
      <c r="B125" s="370">
        <f>VLOOKUP(A125,申报要素!A:F,3,0)</f>
        <v>9113200000</v>
      </c>
      <c r="C125" s="370"/>
      <c r="D125" s="371" t="str">
        <f>VLOOKUP(A125,申报要素!A:F,2,0)</f>
        <v>手表表带</v>
      </c>
      <c r="E125" s="371"/>
      <c r="F125" s="371"/>
      <c r="G125" s="372"/>
      <c r="H125" s="372"/>
      <c r="I125" s="373">
        <v>32</v>
      </c>
      <c r="J125" s="374"/>
      <c r="K125" s="374" t="s">
        <v>97</v>
      </c>
      <c r="L125" s="374"/>
      <c r="M125" s="375" t="str">
        <f>$G$10</f>
        <v>英国</v>
      </c>
      <c r="N125" s="375"/>
      <c r="O125" s="375"/>
      <c r="P125" s="375" t="s">
        <v>98</v>
      </c>
      <c r="Q125" s="375"/>
      <c r="R125" s="375"/>
      <c r="S125" s="376" t="s">
        <v>99</v>
      </c>
      <c r="T125" s="377">
        <v>0.1</v>
      </c>
      <c r="U125" s="377">
        <v>0.1</v>
      </c>
      <c r="V125" s="377"/>
    </row>
    <row r="126" spans="1:22">
      <c r="A126" s="369"/>
      <c r="B126" s="379"/>
      <c r="C126" s="379"/>
      <c r="D126" s="380" t="str">
        <f>VLOOKUP(A125,申报要素!A:F,6,0)</f>
        <v>ZY2-3</v>
      </c>
      <c r="E126" s="380"/>
      <c r="F126" s="380"/>
      <c r="G126" s="381"/>
      <c r="H126" s="381"/>
      <c r="I126" s="373">
        <f>G127*I125</f>
        <v>160</v>
      </c>
      <c r="J126" s="374"/>
      <c r="K126" s="374"/>
      <c r="L126" s="374"/>
      <c r="M126" s="374"/>
      <c r="N126" s="374"/>
      <c r="O126" s="374"/>
      <c r="P126" s="374"/>
      <c r="Q126" s="374"/>
      <c r="R126" s="374"/>
      <c r="S126" s="376"/>
      <c r="T126" s="377"/>
      <c r="U126" s="377"/>
      <c r="V126" s="377"/>
    </row>
    <row r="127" spans="1:22">
      <c r="A127" s="383"/>
      <c r="B127" s="286"/>
      <c r="C127" s="286"/>
      <c r="D127" s="384"/>
      <c r="E127" s="384"/>
      <c r="F127" s="384"/>
      <c r="G127" s="385">
        <v>5</v>
      </c>
      <c r="H127" s="386" t="s">
        <v>100</v>
      </c>
      <c r="I127" s="287" t="s">
        <v>101</v>
      </c>
      <c r="J127" s="387"/>
      <c r="K127" s="387"/>
      <c r="L127" s="387"/>
      <c r="M127" s="387"/>
      <c r="N127" s="387"/>
      <c r="O127" s="387"/>
      <c r="P127" s="387"/>
      <c r="Q127" s="387"/>
      <c r="R127" s="387"/>
      <c r="S127" s="288"/>
      <c r="T127" s="377"/>
      <c r="U127" s="377"/>
      <c r="V127" s="377"/>
    </row>
    <row r="128" spans="1:22">
      <c r="A128" s="369">
        <v>37</v>
      </c>
      <c r="B128" s="370">
        <f>VLOOKUP(A128,申报要素!A:F,3,0)</f>
        <v>9113200000</v>
      </c>
      <c r="C128" s="370"/>
      <c r="D128" s="371" t="str">
        <f>VLOOKUP(A128,申报要素!A:F,2,0)</f>
        <v>手表表带</v>
      </c>
      <c r="E128" s="371"/>
      <c r="F128" s="371"/>
      <c r="G128" s="372"/>
      <c r="H128" s="372"/>
      <c r="I128" s="373">
        <v>32</v>
      </c>
      <c r="J128" s="374"/>
      <c r="K128" s="374" t="s">
        <v>97</v>
      </c>
      <c r="L128" s="374"/>
      <c r="M128" s="375" t="str">
        <f>$G$10</f>
        <v>英国</v>
      </c>
      <c r="N128" s="375"/>
      <c r="O128" s="375"/>
      <c r="P128" s="375" t="s">
        <v>98</v>
      </c>
      <c r="Q128" s="375"/>
      <c r="R128" s="375"/>
      <c r="S128" s="376" t="s">
        <v>99</v>
      </c>
      <c r="T128" s="377">
        <v>0.1</v>
      </c>
      <c r="U128" s="377">
        <v>0.1</v>
      </c>
      <c r="V128" s="377"/>
    </row>
    <row r="129" spans="1:22">
      <c r="A129" s="369"/>
      <c r="B129" s="379"/>
      <c r="C129" s="379"/>
      <c r="D129" s="380" t="str">
        <f>VLOOKUP(A128,申报要素!A:F,6,0)</f>
        <v>ZY2-3</v>
      </c>
      <c r="E129" s="380"/>
      <c r="F129" s="380"/>
      <c r="G129" s="381"/>
      <c r="H129" s="381"/>
      <c r="I129" s="373">
        <f>G130*I128</f>
        <v>160</v>
      </c>
      <c r="J129" s="374"/>
      <c r="K129" s="374"/>
      <c r="L129" s="374"/>
      <c r="M129" s="374"/>
      <c r="N129" s="374"/>
      <c r="O129" s="374"/>
      <c r="P129" s="374"/>
      <c r="Q129" s="374"/>
      <c r="R129" s="374"/>
      <c r="S129" s="376"/>
      <c r="T129" s="377"/>
      <c r="U129" s="377"/>
      <c r="V129" s="377"/>
    </row>
    <row r="130" spans="1:22">
      <c r="A130" s="383"/>
      <c r="B130" s="286"/>
      <c r="C130" s="286"/>
      <c r="D130" s="384"/>
      <c r="E130" s="384"/>
      <c r="F130" s="384"/>
      <c r="G130" s="385">
        <v>5</v>
      </c>
      <c r="H130" s="386" t="s">
        <v>100</v>
      </c>
      <c r="I130" s="287" t="s">
        <v>101</v>
      </c>
      <c r="J130" s="387"/>
      <c r="K130" s="387"/>
      <c r="L130" s="387"/>
      <c r="M130" s="387"/>
      <c r="N130" s="387"/>
      <c r="O130" s="387"/>
      <c r="P130" s="387"/>
      <c r="Q130" s="387"/>
      <c r="R130" s="387"/>
      <c r="S130" s="288"/>
      <c r="T130" s="377"/>
      <c r="U130" s="377"/>
      <c r="V130" s="377"/>
    </row>
    <row r="131" spans="1:22">
      <c r="A131" s="369">
        <v>38</v>
      </c>
      <c r="B131" s="370">
        <f>VLOOKUP(A131,申报要素!A:F,3,0)</f>
        <v>9113200000</v>
      </c>
      <c r="C131" s="370"/>
      <c r="D131" s="371" t="str">
        <f>VLOOKUP(A131,申报要素!A:F,2,0)</f>
        <v>手表表带</v>
      </c>
      <c r="E131" s="371"/>
      <c r="F131" s="371"/>
      <c r="G131" s="372"/>
      <c r="H131" s="372"/>
      <c r="I131" s="373">
        <v>32</v>
      </c>
      <c r="J131" s="374"/>
      <c r="K131" s="374" t="s">
        <v>97</v>
      </c>
      <c r="L131" s="374"/>
      <c r="M131" s="375" t="str">
        <f>$G$10</f>
        <v>英国</v>
      </c>
      <c r="N131" s="375"/>
      <c r="O131" s="375"/>
      <c r="P131" s="375" t="s">
        <v>98</v>
      </c>
      <c r="Q131" s="375"/>
      <c r="R131" s="375"/>
      <c r="S131" s="376" t="s">
        <v>99</v>
      </c>
      <c r="T131" s="377">
        <v>0.1</v>
      </c>
      <c r="U131" s="377">
        <v>0.1</v>
      </c>
      <c r="V131" s="377"/>
    </row>
    <row r="132" spans="1:22">
      <c r="A132" s="369"/>
      <c r="B132" s="379"/>
      <c r="C132" s="379"/>
      <c r="D132" s="380" t="str">
        <f>VLOOKUP(A131,申报要素!A:F,6,0)</f>
        <v>ZY2-3</v>
      </c>
      <c r="E132" s="380"/>
      <c r="F132" s="380"/>
      <c r="G132" s="381"/>
      <c r="H132" s="381"/>
      <c r="I132" s="373">
        <f>G133*I131</f>
        <v>160</v>
      </c>
      <c r="J132" s="374"/>
      <c r="K132" s="374"/>
      <c r="L132" s="374"/>
      <c r="M132" s="374"/>
      <c r="N132" s="374"/>
      <c r="O132" s="374"/>
      <c r="P132" s="374"/>
      <c r="Q132" s="374"/>
      <c r="R132" s="374"/>
      <c r="S132" s="376"/>
      <c r="T132" s="377"/>
      <c r="U132" s="377"/>
      <c r="V132" s="377"/>
    </row>
    <row r="133" spans="1:22">
      <c r="A133" s="383"/>
      <c r="B133" s="286"/>
      <c r="C133" s="286"/>
      <c r="D133" s="384"/>
      <c r="E133" s="384"/>
      <c r="F133" s="384"/>
      <c r="G133" s="385">
        <v>5</v>
      </c>
      <c r="H133" s="386" t="s">
        <v>100</v>
      </c>
      <c r="I133" s="287" t="s">
        <v>101</v>
      </c>
      <c r="J133" s="387"/>
      <c r="K133" s="387"/>
      <c r="L133" s="387"/>
      <c r="M133" s="387"/>
      <c r="N133" s="387"/>
      <c r="O133" s="387"/>
      <c r="P133" s="387"/>
      <c r="Q133" s="387"/>
      <c r="R133" s="387"/>
      <c r="S133" s="288"/>
      <c r="T133" s="377"/>
      <c r="U133" s="377"/>
      <c r="V133" s="377"/>
    </row>
    <row r="134" spans="1:22">
      <c r="A134" s="369">
        <v>39</v>
      </c>
      <c r="B134" s="370">
        <f>VLOOKUP(A134,申报要素!A:F,3,0)</f>
        <v>9113200000</v>
      </c>
      <c r="C134" s="370"/>
      <c r="D134" s="371" t="str">
        <f>VLOOKUP(A134,申报要素!A:F,2,0)</f>
        <v>手表表带</v>
      </c>
      <c r="E134" s="371"/>
      <c r="F134" s="371"/>
      <c r="G134" s="372"/>
      <c r="H134" s="372"/>
      <c r="I134" s="373">
        <v>32</v>
      </c>
      <c r="J134" s="374"/>
      <c r="K134" s="374" t="s">
        <v>97</v>
      </c>
      <c r="L134" s="374"/>
      <c r="M134" s="375" t="str">
        <f>$G$10</f>
        <v>英国</v>
      </c>
      <c r="N134" s="375"/>
      <c r="O134" s="375"/>
      <c r="P134" s="375" t="s">
        <v>98</v>
      </c>
      <c r="Q134" s="375"/>
      <c r="R134" s="375"/>
      <c r="S134" s="376" t="s">
        <v>99</v>
      </c>
      <c r="T134" s="377">
        <v>0.1</v>
      </c>
      <c r="U134" s="377">
        <v>0.1</v>
      </c>
      <c r="V134" s="377"/>
    </row>
    <row r="135" spans="1:22">
      <c r="A135" s="369"/>
      <c r="B135" s="379"/>
      <c r="C135" s="379"/>
      <c r="D135" s="380" t="str">
        <f>VLOOKUP(A134,申报要素!A:F,6,0)</f>
        <v>ZY2-3</v>
      </c>
      <c r="E135" s="380"/>
      <c r="F135" s="380"/>
      <c r="G135" s="381"/>
      <c r="H135" s="381"/>
      <c r="I135" s="373">
        <f>G136*I134</f>
        <v>160</v>
      </c>
      <c r="J135" s="374"/>
      <c r="K135" s="374"/>
      <c r="L135" s="374"/>
      <c r="M135" s="374"/>
      <c r="N135" s="374"/>
      <c r="O135" s="374"/>
      <c r="P135" s="374"/>
      <c r="Q135" s="374"/>
      <c r="R135" s="374"/>
      <c r="S135" s="376"/>
      <c r="T135" s="377"/>
      <c r="U135" s="377"/>
      <c r="V135" s="377"/>
    </row>
    <row r="136" spans="1:22">
      <c r="A136" s="383"/>
      <c r="B136" s="286"/>
      <c r="C136" s="286"/>
      <c r="D136" s="384"/>
      <c r="E136" s="384"/>
      <c r="F136" s="384"/>
      <c r="G136" s="385">
        <v>5</v>
      </c>
      <c r="H136" s="386" t="s">
        <v>100</v>
      </c>
      <c r="I136" s="287" t="s">
        <v>101</v>
      </c>
      <c r="J136" s="387"/>
      <c r="K136" s="387"/>
      <c r="L136" s="387"/>
      <c r="M136" s="387"/>
      <c r="N136" s="387"/>
      <c r="O136" s="387"/>
      <c r="P136" s="387"/>
      <c r="Q136" s="387"/>
      <c r="R136" s="387"/>
      <c r="S136" s="288"/>
      <c r="T136" s="377"/>
      <c r="U136" s="377"/>
      <c r="V136" s="377"/>
    </row>
    <row r="137" spans="1:22">
      <c r="A137" s="369">
        <v>40</v>
      </c>
      <c r="B137" s="370">
        <f>VLOOKUP(A137,申报要素!A:F,3,0)</f>
        <v>9113200000</v>
      </c>
      <c r="C137" s="370"/>
      <c r="D137" s="371" t="str">
        <f>VLOOKUP(A137,申报要素!A:F,2,0)</f>
        <v>手表表带</v>
      </c>
      <c r="E137" s="371"/>
      <c r="F137" s="371"/>
      <c r="G137" s="372"/>
      <c r="H137" s="372"/>
      <c r="I137" s="373">
        <v>32</v>
      </c>
      <c r="J137" s="374"/>
      <c r="K137" s="374" t="s">
        <v>97</v>
      </c>
      <c r="L137" s="374"/>
      <c r="M137" s="375" t="str">
        <f>$G$10</f>
        <v>英国</v>
      </c>
      <c r="N137" s="375"/>
      <c r="O137" s="375"/>
      <c r="P137" s="375" t="s">
        <v>98</v>
      </c>
      <c r="Q137" s="375"/>
      <c r="R137" s="375"/>
      <c r="S137" s="376" t="s">
        <v>99</v>
      </c>
      <c r="T137" s="377">
        <v>0.1</v>
      </c>
      <c r="U137" s="377">
        <v>0.1</v>
      </c>
      <c r="V137" s="377"/>
    </row>
    <row r="138" spans="1:22">
      <c r="A138" s="369"/>
      <c r="B138" s="379"/>
      <c r="C138" s="379"/>
      <c r="D138" s="380" t="str">
        <f>VLOOKUP(A137,申报要素!A:F,6,0)</f>
        <v>ZY2-3</v>
      </c>
      <c r="E138" s="380"/>
      <c r="F138" s="380"/>
      <c r="G138" s="381"/>
      <c r="H138" s="381"/>
      <c r="I138" s="373">
        <f>G139*I137</f>
        <v>160</v>
      </c>
      <c r="J138" s="374"/>
      <c r="K138" s="374"/>
      <c r="L138" s="374"/>
      <c r="M138" s="374"/>
      <c r="N138" s="374"/>
      <c r="O138" s="374"/>
      <c r="P138" s="374"/>
      <c r="Q138" s="374"/>
      <c r="R138" s="374"/>
      <c r="S138" s="376"/>
      <c r="T138" s="377"/>
      <c r="U138" s="377"/>
      <c r="V138" s="377"/>
    </row>
    <row r="139" spans="1:22">
      <c r="A139" s="383"/>
      <c r="B139" s="286"/>
      <c r="C139" s="286"/>
      <c r="D139" s="384"/>
      <c r="E139" s="384"/>
      <c r="F139" s="384"/>
      <c r="G139" s="385">
        <v>5</v>
      </c>
      <c r="H139" s="386" t="s">
        <v>100</v>
      </c>
      <c r="I139" s="287" t="s">
        <v>101</v>
      </c>
      <c r="J139" s="387"/>
      <c r="K139" s="387"/>
      <c r="L139" s="387"/>
      <c r="M139" s="387"/>
      <c r="N139" s="387"/>
      <c r="O139" s="387"/>
      <c r="P139" s="387"/>
      <c r="Q139" s="387"/>
      <c r="R139" s="387"/>
      <c r="S139" s="288"/>
      <c r="T139" s="377"/>
      <c r="U139" s="377"/>
      <c r="V139" s="377"/>
    </row>
    <row r="140" spans="1:22">
      <c r="A140" s="369">
        <v>41</v>
      </c>
      <c r="B140" s="370">
        <f>VLOOKUP(A140,申报要素!A:F,3,0)</f>
        <v>9113200000</v>
      </c>
      <c r="C140" s="370"/>
      <c r="D140" s="371" t="str">
        <f>VLOOKUP(A140,申报要素!A:F,2,0)</f>
        <v>手表表带</v>
      </c>
      <c r="E140" s="371"/>
      <c r="F140" s="371"/>
      <c r="G140" s="372"/>
      <c r="H140" s="372"/>
      <c r="I140" s="373">
        <v>32</v>
      </c>
      <c r="J140" s="374"/>
      <c r="K140" s="374" t="s">
        <v>97</v>
      </c>
      <c r="L140" s="374"/>
      <c r="M140" s="375" t="str">
        <f>$G$10</f>
        <v>英国</v>
      </c>
      <c r="N140" s="375"/>
      <c r="O140" s="375"/>
      <c r="P140" s="375" t="s">
        <v>98</v>
      </c>
      <c r="Q140" s="375"/>
      <c r="R140" s="375"/>
      <c r="S140" s="376" t="s">
        <v>99</v>
      </c>
      <c r="T140" s="377">
        <v>0.1</v>
      </c>
      <c r="U140" s="377">
        <v>0.1</v>
      </c>
      <c r="V140" s="377"/>
    </row>
    <row r="141" spans="1:22">
      <c r="A141" s="369"/>
      <c r="B141" s="379"/>
      <c r="C141" s="379"/>
      <c r="D141" s="380" t="str">
        <f>VLOOKUP(A140,申报要素!A:F,6,0)</f>
        <v>ZY2-3</v>
      </c>
      <c r="E141" s="380"/>
      <c r="F141" s="380"/>
      <c r="G141" s="381"/>
      <c r="H141" s="381"/>
      <c r="I141" s="373">
        <f>G142*I140</f>
        <v>160</v>
      </c>
      <c r="J141" s="374"/>
      <c r="K141" s="374"/>
      <c r="L141" s="374"/>
      <c r="M141" s="374"/>
      <c r="N141" s="374"/>
      <c r="O141" s="374"/>
      <c r="P141" s="374"/>
      <c r="Q141" s="374"/>
      <c r="R141" s="374"/>
      <c r="S141" s="376"/>
      <c r="T141" s="377"/>
      <c r="U141" s="377"/>
      <c r="V141" s="377"/>
    </row>
    <row r="142" spans="1:22">
      <c r="A142" s="383"/>
      <c r="B142" s="286"/>
      <c r="C142" s="286"/>
      <c r="D142" s="384"/>
      <c r="E142" s="384"/>
      <c r="F142" s="384"/>
      <c r="G142" s="385">
        <v>5</v>
      </c>
      <c r="H142" s="386" t="s">
        <v>100</v>
      </c>
      <c r="I142" s="287" t="s">
        <v>101</v>
      </c>
      <c r="J142" s="387"/>
      <c r="K142" s="387"/>
      <c r="L142" s="387"/>
      <c r="M142" s="387"/>
      <c r="N142" s="387"/>
      <c r="O142" s="387"/>
      <c r="P142" s="387"/>
      <c r="Q142" s="387"/>
      <c r="R142" s="387"/>
      <c r="S142" s="288"/>
      <c r="T142" s="377"/>
      <c r="U142" s="377"/>
      <c r="V142" s="377"/>
    </row>
    <row r="143" spans="1:22">
      <c r="A143" s="369">
        <v>42</v>
      </c>
      <c r="B143" s="370">
        <f>VLOOKUP(A143,申报要素!A:F,3,0)</f>
        <v>9113200000</v>
      </c>
      <c r="C143" s="370"/>
      <c r="D143" s="371" t="str">
        <f>VLOOKUP(A143,申报要素!A:F,2,0)</f>
        <v>手表表带</v>
      </c>
      <c r="E143" s="371"/>
      <c r="F143" s="371"/>
      <c r="G143" s="372"/>
      <c r="H143" s="372"/>
      <c r="I143" s="373">
        <v>32</v>
      </c>
      <c r="J143" s="374"/>
      <c r="K143" s="374" t="s">
        <v>97</v>
      </c>
      <c r="L143" s="374"/>
      <c r="M143" s="375" t="str">
        <f>$G$10</f>
        <v>英国</v>
      </c>
      <c r="N143" s="375"/>
      <c r="O143" s="375"/>
      <c r="P143" s="375" t="s">
        <v>98</v>
      </c>
      <c r="Q143" s="375"/>
      <c r="R143" s="375"/>
      <c r="S143" s="376" t="s">
        <v>99</v>
      </c>
      <c r="T143" s="377">
        <v>0.1</v>
      </c>
      <c r="U143" s="377">
        <v>0.1</v>
      </c>
      <c r="V143" s="377"/>
    </row>
    <row r="144" spans="1:22">
      <c r="A144" s="369"/>
      <c r="B144" s="379"/>
      <c r="C144" s="379"/>
      <c r="D144" s="380" t="str">
        <f>VLOOKUP(A143,申报要素!A:F,6,0)</f>
        <v>ZY2-3</v>
      </c>
      <c r="E144" s="380"/>
      <c r="F144" s="380"/>
      <c r="G144" s="381"/>
      <c r="H144" s="381"/>
      <c r="I144" s="373">
        <f>G145*I143</f>
        <v>160</v>
      </c>
      <c r="J144" s="374"/>
      <c r="K144" s="374"/>
      <c r="L144" s="374"/>
      <c r="M144" s="374"/>
      <c r="N144" s="374"/>
      <c r="O144" s="374"/>
      <c r="P144" s="374"/>
      <c r="Q144" s="374"/>
      <c r="R144" s="374"/>
      <c r="S144" s="376"/>
      <c r="T144" s="377"/>
      <c r="U144" s="377"/>
      <c r="V144" s="377"/>
    </row>
    <row r="145" spans="1:22">
      <c r="A145" s="383"/>
      <c r="B145" s="286"/>
      <c r="C145" s="286"/>
      <c r="D145" s="384"/>
      <c r="E145" s="384"/>
      <c r="F145" s="384"/>
      <c r="G145" s="385">
        <v>5</v>
      </c>
      <c r="H145" s="386" t="s">
        <v>100</v>
      </c>
      <c r="I145" s="287" t="s">
        <v>101</v>
      </c>
      <c r="J145" s="387"/>
      <c r="K145" s="387"/>
      <c r="L145" s="387"/>
      <c r="M145" s="387"/>
      <c r="N145" s="387"/>
      <c r="O145" s="387"/>
      <c r="P145" s="387"/>
      <c r="Q145" s="387"/>
      <c r="R145" s="387"/>
      <c r="S145" s="288"/>
      <c r="T145" s="377"/>
      <c r="U145" s="377"/>
      <c r="V145" s="377"/>
    </row>
    <row r="146" spans="1:22">
      <c r="A146" s="369">
        <v>43</v>
      </c>
      <c r="B146" s="370">
        <f>VLOOKUP(A146,申报要素!A:F,3,0)</f>
        <v>9113200000</v>
      </c>
      <c r="C146" s="370"/>
      <c r="D146" s="371" t="str">
        <f>VLOOKUP(A146,申报要素!A:F,2,0)</f>
        <v>手表表带</v>
      </c>
      <c r="E146" s="371"/>
      <c r="F146" s="371"/>
      <c r="G146" s="372"/>
      <c r="H146" s="372"/>
      <c r="I146" s="373">
        <v>32</v>
      </c>
      <c r="J146" s="374"/>
      <c r="K146" s="374" t="s">
        <v>97</v>
      </c>
      <c r="L146" s="374"/>
      <c r="M146" s="375" t="str">
        <f>$G$10</f>
        <v>英国</v>
      </c>
      <c r="N146" s="375"/>
      <c r="O146" s="375"/>
      <c r="P146" s="375" t="s">
        <v>98</v>
      </c>
      <c r="Q146" s="375"/>
      <c r="R146" s="375"/>
      <c r="S146" s="376" t="s">
        <v>99</v>
      </c>
      <c r="T146" s="377">
        <v>0.1</v>
      </c>
      <c r="U146" s="377">
        <v>0.1</v>
      </c>
      <c r="V146" s="377"/>
    </row>
    <row r="147" spans="1:22">
      <c r="A147" s="369"/>
      <c r="B147" s="379"/>
      <c r="C147" s="379"/>
      <c r="D147" s="380" t="str">
        <f>VLOOKUP(A146,申报要素!A:F,6,0)</f>
        <v>ZY2-3</v>
      </c>
      <c r="E147" s="380"/>
      <c r="F147" s="380"/>
      <c r="G147" s="381"/>
      <c r="H147" s="381"/>
      <c r="I147" s="373">
        <f>G148*I146</f>
        <v>160</v>
      </c>
      <c r="J147" s="374"/>
      <c r="K147" s="374"/>
      <c r="L147" s="374"/>
      <c r="M147" s="374"/>
      <c r="N147" s="374"/>
      <c r="O147" s="374"/>
      <c r="P147" s="374"/>
      <c r="Q147" s="374"/>
      <c r="R147" s="374"/>
      <c r="S147" s="376"/>
      <c r="T147" s="377"/>
      <c r="U147" s="377"/>
      <c r="V147" s="377"/>
    </row>
    <row r="148" spans="1:22">
      <c r="A148" s="383"/>
      <c r="B148" s="286"/>
      <c r="C148" s="286"/>
      <c r="D148" s="384"/>
      <c r="E148" s="384"/>
      <c r="F148" s="384"/>
      <c r="G148" s="385">
        <v>5</v>
      </c>
      <c r="H148" s="386" t="s">
        <v>100</v>
      </c>
      <c r="I148" s="287" t="s">
        <v>101</v>
      </c>
      <c r="J148" s="387"/>
      <c r="K148" s="387"/>
      <c r="L148" s="387"/>
      <c r="M148" s="387"/>
      <c r="N148" s="387"/>
      <c r="O148" s="387"/>
      <c r="P148" s="387"/>
      <c r="Q148" s="387"/>
      <c r="R148" s="387"/>
      <c r="S148" s="288"/>
      <c r="T148" s="377"/>
      <c r="U148" s="377"/>
      <c r="V148" s="377"/>
    </row>
    <row r="149" spans="1:22">
      <c r="A149" s="369">
        <v>44</v>
      </c>
      <c r="B149" s="370">
        <f>VLOOKUP(A149,申报要素!A:F,3,0)</f>
        <v>9113200000</v>
      </c>
      <c r="C149" s="370"/>
      <c r="D149" s="371" t="str">
        <f>VLOOKUP(A149,申报要素!A:F,2,0)</f>
        <v>手表表带</v>
      </c>
      <c r="E149" s="371"/>
      <c r="F149" s="371"/>
      <c r="G149" s="372"/>
      <c r="H149" s="372"/>
      <c r="I149" s="373">
        <v>32</v>
      </c>
      <c r="J149" s="374"/>
      <c r="K149" s="374" t="s">
        <v>97</v>
      </c>
      <c r="L149" s="374"/>
      <c r="M149" s="375" t="str">
        <f>$G$10</f>
        <v>英国</v>
      </c>
      <c r="N149" s="375"/>
      <c r="O149" s="375"/>
      <c r="P149" s="375" t="s">
        <v>98</v>
      </c>
      <c r="Q149" s="375"/>
      <c r="R149" s="375"/>
      <c r="S149" s="376" t="s">
        <v>99</v>
      </c>
      <c r="T149" s="377">
        <v>0.1</v>
      </c>
      <c r="U149" s="377">
        <v>0.1</v>
      </c>
      <c r="V149" s="377"/>
    </row>
    <row r="150" spans="1:22">
      <c r="A150" s="369"/>
      <c r="B150" s="379"/>
      <c r="C150" s="379"/>
      <c r="D150" s="380" t="str">
        <f>VLOOKUP(A149,申报要素!A:F,6,0)</f>
        <v>ZY2-3</v>
      </c>
      <c r="E150" s="380"/>
      <c r="F150" s="380"/>
      <c r="G150" s="381"/>
      <c r="H150" s="381"/>
      <c r="I150" s="373">
        <f>G151*I149</f>
        <v>160</v>
      </c>
      <c r="J150" s="374"/>
      <c r="K150" s="374"/>
      <c r="L150" s="374"/>
      <c r="M150" s="374"/>
      <c r="N150" s="374"/>
      <c r="O150" s="374"/>
      <c r="P150" s="374"/>
      <c r="Q150" s="374"/>
      <c r="R150" s="374"/>
      <c r="S150" s="376"/>
      <c r="T150" s="377"/>
      <c r="U150" s="377"/>
      <c r="V150" s="377"/>
    </row>
    <row r="151" spans="1:22">
      <c r="A151" s="383"/>
      <c r="B151" s="286"/>
      <c r="C151" s="286"/>
      <c r="D151" s="384"/>
      <c r="E151" s="384"/>
      <c r="F151" s="384"/>
      <c r="G151" s="385">
        <v>5</v>
      </c>
      <c r="H151" s="386" t="s">
        <v>100</v>
      </c>
      <c r="I151" s="287" t="s">
        <v>101</v>
      </c>
      <c r="J151" s="387"/>
      <c r="K151" s="387"/>
      <c r="L151" s="387"/>
      <c r="M151" s="387"/>
      <c r="N151" s="387"/>
      <c r="O151" s="387"/>
      <c r="P151" s="387"/>
      <c r="Q151" s="387"/>
      <c r="R151" s="387"/>
      <c r="S151" s="288"/>
      <c r="T151" s="377"/>
      <c r="U151" s="377"/>
      <c r="V151" s="377"/>
    </row>
    <row r="152" spans="1:22">
      <c r="A152" s="369">
        <v>45</v>
      </c>
      <c r="B152" s="370">
        <f>VLOOKUP(A152,申报要素!A:F,3,0)</f>
        <v>9113200000</v>
      </c>
      <c r="C152" s="370"/>
      <c r="D152" s="371" t="str">
        <f>VLOOKUP(A152,申报要素!A:F,2,0)</f>
        <v>手表表带</v>
      </c>
      <c r="E152" s="371"/>
      <c r="F152" s="371"/>
      <c r="G152" s="372"/>
      <c r="H152" s="372"/>
      <c r="I152" s="373">
        <v>32</v>
      </c>
      <c r="J152" s="374"/>
      <c r="K152" s="374" t="s">
        <v>97</v>
      </c>
      <c r="L152" s="374"/>
      <c r="M152" s="375" t="str">
        <f>$G$10</f>
        <v>英国</v>
      </c>
      <c r="N152" s="375"/>
      <c r="O152" s="375"/>
      <c r="P152" s="375" t="s">
        <v>98</v>
      </c>
      <c r="Q152" s="375"/>
      <c r="R152" s="375"/>
      <c r="S152" s="376" t="s">
        <v>99</v>
      </c>
      <c r="T152" s="377">
        <v>0.1</v>
      </c>
      <c r="U152" s="377">
        <v>0.1</v>
      </c>
      <c r="V152" s="377"/>
    </row>
    <row r="153" spans="1:22">
      <c r="A153" s="369"/>
      <c r="B153" s="379"/>
      <c r="C153" s="379"/>
      <c r="D153" s="380" t="str">
        <f>VLOOKUP(A152,申报要素!A:F,6,0)</f>
        <v>ZY2-3</v>
      </c>
      <c r="E153" s="380"/>
      <c r="F153" s="380"/>
      <c r="G153" s="381"/>
      <c r="H153" s="381"/>
      <c r="I153" s="373">
        <f>G154*I152</f>
        <v>160</v>
      </c>
      <c r="J153" s="374"/>
      <c r="K153" s="374"/>
      <c r="L153" s="374"/>
      <c r="M153" s="374"/>
      <c r="N153" s="374"/>
      <c r="O153" s="374"/>
      <c r="P153" s="374"/>
      <c r="Q153" s="374"/>
      <c r="R153" s="374"/>
      <c r="S153" s="376"/>
      <c r="T153" s="377"/>
      <c r="U153" s="377"/>
      <c r="V153" s="377"/>
    </row>
    <row r="154" spans="1:22">
      <c r="A154" s="383"/>
      <c r="B154" s="286"/>
      <c r="C154" s="286"/>
      <c r="D154" s="384"/>
      <c r="E154" s="384"/>
      <c r="F154" s="384"/>
      <c r="G154" s="385">
        <v>5</v>
      </c>
      <c r="H154" s="386" t="s">
        <v>100</v>
      </c>
      <c r="I154" s="287" t="s">
        <v>101</v>
      </c>
      <c r="J154" s="387"/>
      <c r="K154" s="387"/>
      <c r="L154" s="387"/>
      <c r="M154" s="387"/>
      <c r="N154" s="387"/>
      <c r="O154" s="387"/>
      <c r="P154" s="387"/>
      <c r="Q154" s="387"/>
      <c r="R154" s="387"/>
      <c r="S154" s="288"/>
      <c r="T154" s="377"/>
      <c r="U154" s="377"/>
      <c r="V154" s="377"/>
    </row>
    <row r="155" spans="1:22">
      <c r="A155" s="369">
        <v>46</v>
      </c>
      <c r="B155" s="370">
        <f>VLOOKUP(A155,申报要素!A:F,3,0)</f>
        <v>9113200000</v>
      </c>
      <c r="C155" s="370"/>
      <c r="D155" s="371" t="str">
        <f>VLOOKUP(A155,申报要素!A:F,2,0)</f>
        <v>手表表带</v>
      </c>
      <c r="E155" s="371"/>
      <c r="F155" s="371"/>
      <c r="G155" s="372"/>
      <c r="H155" s="372"/>
      <c r="I155" s="373">
        <v>32</v>
      </c>
      <c r="J155" s="374"/>
      <c r="K155" s="374" t="s">
        <v>97</v>
      </c>
      <c r="L155" s="374"/>
      <c r="M155" s="375" t="str">
        <f>$G$10</f>
        <v>英国</v>
      </c>
      <c r="N155" s="375"/>
      <c r="O155" s="375"/>
      <c r="P155" s="375" t="s">
        <v>98</v>
      </c>
      <c r="Q155" s="375"/>
      <c r="R155" s="375"/>
      <c r="S155" s="376" t="s">
        <v>99</v>
      </c>
      <c r="T155" s="377">
        <v>0.1</v>
      </c>
      <c r="U155" s="377">
        <v>0.1</v>
      </c>
      <c r="V155" s="377"/>
    </row>
    <row r="156" spans="1:22">
      <c r="A156" s="369"/>
      <c r="B156" s="379"/>
      <c r="C156" s="379"/>
      <c r="D156" s="380" t="str">
        <f>VLOOKUP(A155,申报要素!A:F,6,0)</f>
        <v>ZY2-3</v>
      </c>
      <c r="E156" s="380"/>
      <c r="F156" s="380"/>
      <c r="G156" s="381"/>
      <c r="H156" s="381"/>
      <c r="I156" s="373">
        <f>G157*I155</f>
        <v>160</v>
      </c>
      <c r="J156" s="374"/>
      <c r="K156" s="374"/>
      <c r="L156" s="374"/>
      <c r="M156" s="374"/>
      <c r="N156" s="374"/>
      <c r="O156" s="374"/>
      <c r="P156" s="374"/>
      <c r="Q156" s="374"/>
      <c r="R156" s="374"/>
      <c r="S156" s="376"/>
      <c r="T156" s="377"/>
      <c r="U156" s="377"/>
      <c r="V156" s="377"/>
    </row>
    <row r="157" spans="1:22">
      <c r="A157" s="383"/>
      <c r="B157" s="286"/>
      <c r="C157" s="286"/>
      <c r="D157" s="384"/>
      <c r="E157" s="384"/>
      <c r="F157" s="384"/>
      <c r="G157" s="385">
        <v>5</v>
      </c>
      <c r="H157" s="386" t="s">
        <v>100</v>
      </c>
      <c r="I157" s="287" t="s">
        <v>101</v>
      </c>
      <c r="J157" s="387"/>
      <c r="K157" s="387"/>
      <c r="L157" s="387"/>
      <c r="M157" s="387"/>
      <c r="N157" s="387"/>
      <c r="O157" s="387"/>
      <c r="P157" s="387"/>
      <c r="Q157" s="387"/>
      <c r="R157" s="387"/>
      <c r="S157" s="288"/>
      <c r="T157" s="377"/>
      <c r="U157" s="377"/>
      <c r="V157" s="377"/>
    </row>
    <row r="158" spans="1:22">
      <c r="A158" s="369">
        <v>47</v>
      </c>
      <c r="B158" s="370">
        <f>VLOOKUP(A158,申报要素!A:F,3,0)</f>
        <v>9113200000</v>
      </c>
      <c r="C158" s="370"/>
      <c r="D158" s="371" t="str">
        <f>VLOOKUP(A158,申报要素!A:F,2,0)</f>
        <v>手表表带</v>
      </c>
      <c r="E158" s="371"/>
      <c r="F158" s="371"/>
      <c r="G158" s="372"/>
      <c r="H158" s="372"/>
      <c r="I158" s="373">
        <v>32</v>
      </c>
      <c r="J158" s="374"/>
      <c r="K158" s="374" t="s">
        <v>97</v>
      </c>
      <c r="L158" s="374"/>
      <c r="M158" s="375" t="str">
        <f>$G$10</f>
        <v>英国</v>
      </c>
      <c r="N158" s="375"/>
      <c r="O158" s="375"/>
      <c r="P158" s="375" t="s">
        <v>98</v>
      </c>
      <c r="Q158" s="375"/>
      <c r="R158" s="375"/>
      <c r="S158" s="376" t="s">
        <v>99</v>
      </c>
      <c r="T158" s="377">
        <v>0.1</v>
      </c>
      <c r="U158" s="377">
        <v>0.1</v>
      </c>
      <c r="V158" s="377"/>
    </row>
    <row r="159" spans="1:22">
      <c r="A159" s="369"/>
      <c r="B159" s="379"/>
      <c r="C159" s="379"/>
      <c r="D159" s="380" t="str">
        <f>VLOOKUP(A158,申报要素!A:F,6,0)</f>
        <v>ZY2-3</v>
      </c>
      <c r="E159" s="380"/>
      <c r="F159" s="380"/>
      <c r="G159" s="381"/>
      <c r="H159" s="381"/>
      <c r="I159" s="373">
        <f>G160*I158</f>
        <v>160</v>
      </c>
      <c r="J159" s="374"/>
      <c r="K159" s="374"/>
      <c r="L159" s="374"/>
      <c r="M159" s="374"/>
      <c r="N159" s="374"/>
      <c r="O159" s="374"/>
      <c r="P159" s="374"/>
      <c r="Q159" s="374"/>
      <c r="R159" s="374"/>
      <c r="S159" s="376"/>
      <c r="T159" s="377"/>
      <c r="U159" s="377"/>
      <c r="V159" s="377"/>
    </row>
    <row r="160" spans="1:22">
      <c r="A160" s="383"/>
      <c r="B160" s="286"/>
      <c r="C160" s="286"/>
      <c r="D160" s="384"/>
      <c r="E160" s="384"/>
      <c r="F160" s="384"/>
      <c r="G160" s="385">
        <v>5</v>
      </c>
      <c r="H160" s="386" t="s">
        <v>100</v>
      </c>
      <c r="I160" s="287" t="s">
        <v>101</v>
      </c>
      <c r="J160" s="387"/>
      <c r="K160" s="387"/>
      <c r="L160" s="387"/>
      <c r="M160" s="387"/>
      <c r="N160" s="387"/>
      <c r="O160" s="387"/>
      <c r="P160" s="387"/>
      <c r="Q160" s="387"/>
      <c r="R160" s="387"/>
      <c r="S160" s="288"/>
      <c r="T160" s="377"/>
      <c r="U160" s="377"/>
      <c r="V160" s="377"/>
    </row>
    <row r="161" spans="1:22">
      <c r="A161" s="369">
        <v>48</v>
      </c>
      <c r="B161" s="370">
        <f>VLOOKUP(A161,申报要素!A:F,3,0)</f>
        <v>9113200000</v>
      </c>
      <c r="C161" s="370"/>
      <c r="D161" s="371" t="str">
        <f>VLOOKUP(A161,申报要素!A:F,2,0)</f>
        <v>手表表带</v>
      </c>
      <c r="E161" s="371"/>
      <c r="F161" s="371"/>
      <c r="G161" s="372"/>
      <c r="H161" s="372"/>
      <c r="I161" s="373">
        <v>32</v>
      </c>
      <c r="J161" s="374"/>
      <c r="K161" s="374" t="s">
        <v>97</v>
      </c>
      <c r="L161" s="374"/>
      <c r="M161" s="375" t="str">
        <f>$G$10</f>
        <v>英国</v>
      </c>
      <c r="N161" s="375"/>
      <c r="O161" s="375"/>
      <c r="P161" s="375" t="s">
        <v>98</v>
      </c>
      <c r="Q161" s="375"/>
      <c r="R161" s="375"/>
      <c r="S161" s="376" t="s">
        <v>99</v>
      </c>
      <c r="T161" s="377">
        <v>0.1</v>
      </c>
      <c r="U161" s="377">
        <v>0.1</v>
      </c>
      <c r="V161" s="377"/>
    </row>
    <row r="162" spans="1:22">
      <c r="A162" s="369"/>
      <c r="B162" s="379"/>
      <c r="C162" s="379"/>
      <c r="D162" s="380" t="str">
        <f>VLOOKUP(A161,申报要素!A:F,6,0)</f>
        <v>ZY2-3</v>
      </c>
      <c r="E162" s="380"/>
      <c r="F162" s="380"/>
      <c r="G162" s="381"/>
      <c r="H162" s="381"/>
      <c r="I162" s="373">
        <f>G163*I161</f>
        <v>160</v>
      </c>
      <c r="J162" s="374"/>
      <c r="K162" s="374"/>
      <c r="L162" s="374"/>
      <c r="M162" s="374"/>
      <c r="N162" s="374"/>
      <c r="O162" s="374"/>
      <c r="P162" s="374"/>
      <c r="Q162" s="374"/>
      <c r="R162" s="374"/>
      <c r="S162" s="376"/>
      <c r="T162" s="377"/>
      <c r="U162" s="377"/>
      <c r="V162" s="377"/>
    </row>
    <row r="163" spans="1:22">
      <c r="A163" s="383"/>
      <c r="B163" s="286"/>
      <c r="C163" s="286"/>
      <c r="D163" s="384"/>
      <c r="E163" s="384"/>
      <c r="F163" s="384"/>
      <c r="G163" s="385">
        <v>5</v>
      </c>
      <c r="H163" s="386" t="s">
        <v>100</v>
      </c>
      <c r="I163" s="287" t="s">
        <v>101</v>
      </c>
      <c r="J163" s="387"/>
      <c r="K163" s="387"/>
      <c r="L163" s="387"/>
      <c r="M163" s="387"/>
      <c r="N163" s="387"/>
      <c r="O163" s="387"/>
      <c r="P163" s="387"/>
      <c r="Q163" s="387"/>
      <c r="R163" s="387"/>
      <c r="S163" s="288"/>
      <c r="T163" s="377"/>
      <c r="U163" s="377"/>
      <c r="V163" s="377"/>
    </row>
    <row r="164" spans="1:22">
      <c r="A164" s="369">
        <v>49</v>
      </c>
      <c r="B164" s="370">
        <f>VLOOKUP(A164,申报要素!A:F,3,0)</f>
        <v>9113200000</v>
      </c>
      <c r="C164" s="370"/>
      <c r="D164" s="371" t="str">
        <f>VLOOKUP(A164,申报要素!A:F,2,0)</f>
        <v>手表表带</v>
      </c>
      <c r="E164" s="371"/>
      <c r="F164" s="371"/>
      <c r="G164" s="372"/>
      <c r="H164" s="372"/>
      <c r="I164" s="373">
        <v>32</v>
      </c>
      <c r="J164" s="374"/>
      <c r="K164" s="374" t="s">
        <v>97</v>
      </c>
      <c r="L164" s="374"/>
      <c r="M164" s="375" t="str">
        <f>$G$10</f>
        <v>英国</v>
      </c>
      <c r="N164" s="375"/>
      <c r="O164" s="375"/>
      <c r="P164" s="375" t="s">
        <v>98</v>
      </c>
      <c r="Q164" s="375"/>
      <c r="R164" s="375"/>
      <c r="S164" s="376" t="s">
        <v>99</v>
      </c>
      <c r="T164" s="377">
        <v>0.1</v>
      </c>
      <c r="U164" s="377">
        <v>0.1</v>
      </c>
      <c r="V164" s="377"/>
    </row>
    <row r="165" spans="1:22">
      <c r="A165" s="369"/>
      <c r="B165" s="379"/>
      <c r="C165" s="379"/>
      <c r="D165" s="380" t="str">
        <f>VLOOKUP(A164,申报要素!A:F,6,0)</f>
        <v>ZY2-3</v>
      </c>
      <c r="E165" s="380"/>
      <c r="F165" s="380"/>
      <c r="G165" s="381"/>
      <c r="H165" s="381"/>
      <c r="I165" s="373">
        <f>G166*I164</f>
        <v>160</v>
      </c>
      <c r="J165" s="374"/>
      <c r="K165" s="374"/>
      <c r="L165" s="374"/>
      <c r="M165" s="374"/>
      <c r="N165" s="374"/>
      <c r="O165" s="374"/>
      <c r="P165" s="374"/>
      <c r="Q165" s="374"/>
      <c r="R165" s="374"/>
      <c r="S165" s="376"/>
      <c r="T165" s="377"/>
      <c r="U165" s="377"/>
      <c r="V165" s="377"/>
    </row>
    <row r="166" spans="1:22">
      <c r="A166" s="383"/>
      <c r="B166" s="286"/>
      <c r="C166" s="286"/>
      <c r="D166" s="384"/>
      <c r="E166" s="384"/>
      <c r="F166" s="384"/>
      <c r="G166" s="385">
        <v>5</v>
      </c>
      <c r="H166" s="386" t="s">
        <v>100</v>
      </c>
      <c r="I166" s="287" t="s">
        <v>101</v>
      </c>
      <c r="J166" s="387"/>
      <c r="K166" s="387"/>
      <c r="L166" s="387"/>
      <c r="M166" s="387"/>
      <c r="N166" s="387"/>
      <c r="O166" s="387"/>
      <c r="P166" s="387"/>
      <c r="Q166" s="387"/>
      <c r="R166" s="387"/>
      <c r="S166" s="288"/>
      <c r="T166" s="377"/>
      <c r="U166" s="377"/>
      <c r="V166" s="377"/>
    </row>
    <row r="167" spans="1:22">
      <c r="A167" s="369">
        <v>50</v>
      </c>
      <c r="B167" s="370">
        <f>VLOOKUP(A167,申报要素!A:F,3,0)</f>
        <v>9113200000</v>
      </c>
      <c r="C167" s="370"/>
      <c r="D167" s="371" t="str">
        <f>VLOOKUP(A167,申报要素!A:F,2,0)</f>
        <v>手表表带</v>
      </c>
      <c r="E167" s="371"/>
      <c r="F167" s="371"/>
      <c r="G167" s="372"/>
      <c r="H167" s="372"/>
      <c r="I167" s="373">
        <v>32</v>
      </c>
      <c r="J167" s="374"/>
      <c r="K167" s="374" t="s">
        <v>97</v>
      </c>
      <c r="L167" s="374"/>
      <c r="M167" s="375" t="str">
        <f>$G$10</f>
        <v>英国</v>
      </c>
      <c r="N167" s="375"/>
      <c r="O167" s="375"/>
      <c r="P167" s="375" t="s">
        <v>98</v>
      </c>
      <c r="Q167" s="375"/>
      <c r="R167" s="375"/>
      <c r="S167" s="376" t="s">
        <v>99</v>
      </c>
      <c r="T167" s="377">
        <v>0.1</v>
      </c>
      <c r="U167" s="377">
        <v>0.1</v>
      </c>
      <c r="V167" s="377"/>
    </row>
    <row r="168" spans="1:22">
      <c r="A168" s="369"/>
      <c r="B168" s="379"/>
      <c r="C168" s="379"/>
      <c r="D168" s="380" t="str">
        <f>VLOOKUP(A167,申报要素!A:F,6,0)</f>
        <v>ZY2-3</v>
      </c>
      <c r="E168" s="380"/>
      <c r="F168" s="380"/>
      <c r="G168" s="381"/>
      <c r="H168" s="381"/>
      <c r="I168" s="373">
        <f>G169*I167</f>
        <v>160</v>
      </c>
      <c r="J168" s="374"/>
      <c r="K168" s="374"/>
      <c r="L168" s="374"/>
      <c r="M168" s="374"/>
      <c r="N168" s="374"/>
      <c r="O168" s="374"/>
      <c r="P168" s="374"/>
      <c r="Q168" s="374"/>
      <c r="R168" s="374"/>
      <c r="S168" s="376"/>
      <c r="T168" s="377"/>
      <c r="U168" s="377"/>
      <c r="V168" s="377"/>
    </row>
    <row r="169" spans="1:22">
      <c r="A169" s="383"/>
      <c r="B169" s="286"/>
      <c r="C169" s="286"/>
      <c r="D169" s="384"/>
      <c r="E169" s="384"/>
      <c r="F169" s="384"/>
      <c r="G169" s="385">
        <v>5</v>
      </c>
      <c r="H169" s="386" t="s">
        <v>100</v>
      </c>
      <c r="I169" s="287" t="s">
        <v>101</v>
      </c>
      <c r="J169" s="387"/>
      <c r="K169" s="387"/>
      <c r="L169" s="387"/>
      <c r="M169" s="387"/>
      <c r="N169" s="387"/>
      <c r="O169" s="387"/>
      <c r="P169" s="387"/>
      <c r="Q169" s="387"/>
      <c r="R169" s="387"/>
      <c r="S169" s="288"/>
      <c r="T169" s="377"/>
      <c r="U169" s="377"/>
      <c r="V169" s="377"/>
    </row>
    <row r="182" spans="77:77">
      <c r="BY182" s="390" t="s">
        <v>102</v>
      </c>
    </row>
  </sheetData>
  <autoFilter xmlns:etc="http://www.wps.cn/officeDocument/2017/etCustomData" ref="A19:BY169" etc:filterBottomFollowUsedRange="0">
    <extLst/>
  </autoFilter>
  <mergeCells count="1070">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T12:V12"/>
    <mergeCell ref="W12:AB12"/>
    <mergeCell ref="C13:S13"/>
    <mergeCell ref="T13:V13"/>
    <mergeCell ref="W13:AB13"/>
    <mergeCell ref="A14:C14"/>
    <mergeCell ref="D14:S14"/>
    <mergeCell ref="T14:V14"/>
    <mergeCell ref="W14:AB14"/>
    <mergeCell ref="C15:S15"/>
    <mergeCell ref="T15:V15"/>
    <mergeCell ref="W15:AB15"/>
    <mergeCell ref="B16:S16"/>
    <mergeCell ref="T16:V16"/>
    <mergeCell ref="W16:AB16"/>
    <mergeCell ref="A17:K17"/>
    <mergeCell ref="L17:N17"/>
    <mergeCell ref="O17:S17"/>
    <mergeCell ref="W17:AC17"/>
    <mergeCell ref="F18:G18"/>
    <mergeCell ref="I18:J18"/>
    <mergeCell ref="L18:S18"/>
    <mergeCell ref="B19:C19"/>
    <mergeCell ref="D19:F19"/>
    <mergeCell ref="G19:H19"/>
    <mergeCell ref="I19:J19"/>
    <mergeCell ref="K19:L19"/>
    <mergeCell ref="M19:O19"/>
    <mergeCell ref="P19:R19"/>
    <mergeCell ref="B20:C20"/>
    <mergeCell ref="D20:F20"/>
    <mergeCell ref="I20:J20"/>
    <mergeCell ref="K20:L20"/>
    <mergeCell ref="M20:O20"/>
    <mergeCell ref="P20:R20"/>
    <mergeCell ref="B21:C21"/>
    <mergeCell ref="I21:J21"/>
    <mergeCell ref="K21:L21"/>
    <mergeCell ref="M21:O21"/>
    <mergeCell ref="P21:R21"/>
    <mergeCell ref="B22:C22"/>
    <mergeCell ref="I22:J22"/>
    <mergeCell ref="K22:L22"/>
    <mergeCell ref="M22:O22"/>
    <mergeCell ref="P22:R22"/>
    <mergeCell ref="B23:C23"/>
    <mergeCell ref="D23:F23"/>
    <mergeCell ref="I23:J23"/>
    <mergeCell ref="K23:L23"/>
    <mergeCell ref="M23:O23"/>
    <mergeCell ref="P23:R23"/>
    <mergeCell ref="B24:C24"/>
    <mergeCell ref="I24:J24"/>
    <mergeCell ref="K24:L24"/>
    <mergeCell ref="M24:O24"/>
    <mergeCell ref="P24:R24"/>
    <mergeCell ref="B25:C25"/>
    <mergeCell ref="I25:J25"/>
    <mergeCell ref="K25:L25"/>
    <mergeCell ref="M25:O25"/>
    <mergeCell ref="P25:R25"/>
    <mergeCell ref="B26:C26"/>
    <mergeCell ref="D26:F26"/>
    <mergeCell ref="I26:J26"/>
    <mergeCell ref="K26:L26"/>
    <mergeCell ref="M26:O26"/>
    <mergeCell ref="P26:R26"/>
    <mergeCell ref="B27:C27"/>
    <mergeCell ref="I27:J27"/>
    <mergeCell ref="K27:L27"/>
    <mergeCell ref="M27:O27"/>
    <mergeCell ref="P27:R27"/>
    <mergeCell ref="B28:C28"/>
    <mergeCell ref="I28:J28"/>
    <mergeCell ref="K28:L28"/>
    <mergeCell ref="M28:O28"/>
    <mergeCell ref="P28:R28"/>
    <mergeCell ref="B29:C29"/>
    <mergeCell ref="D29:F29"/>
    <mergeCell ref="I29:J29"/>
    <mergeCell ref="K29:L29"/>
    <mergeCell ref="M29:O29"/>
    <mergeCell ref="P29:R29"/>
    <mergeCell ref="B30:C30"/>
    <mergeCell ref="I30:J30"/>
    <mergeCell ref="K30:L30"/>
    <mergeCell ref="M30:O30"/>
    <mergeCell ref="P30:R30"/>
    <mergeCell ref="B31:C31"/>
    <mergeCell ref="I31:J31"/>
    <mergeCell ref="K31:L31"/>
    <mergeCell ref="M31:O31"/>
    <mergeCell ref="P31:R31"/>
    <mergeCell ref="B32:C32"/>
    <mergeCell ref="D32:F32"/>
    <mergeCell ref="I32:J32"/>
    <mergeCell ref="K32:L32"/>
    <mergeCell ref="M32:O32"/>
    <mergeCell ref="P32:R32"/>
    <mergeCell ref="B33:C33"/>
    <mergeCell ref="I33:J33"/>
    <mergeCell ref="K33:L33"/>
    <mergeCell ref="M33:O33"/>
    <mergeCell ref="P33:R33"/>
    <mergeCell ref="B34:C34"/>
    <mergeCell ref="I34:J34"/>
    <mergeCell ref="K34:L34"/>
    <mergeCell ref="M34:O34"/>
    <mergeCell ref="P34:R34"/>
    <mergeCell ref="B35:C35"/>
    <mergeCell ref="D35:F35"/>
    <mergeCell ref="I35:J35"/>
    <mergeCell ref="K35:L35"/>
    <mergeCell ref="M35:O35"/>
    <mergeCell ref="P35:R35"/>
    <mergeCell ref="B36:C36"/>
    <mergeCell ref="I36:J36"/>
    <mergeCell ref="K36:L36"/>
    <mergeCell ref="M36:O36"/>
    <mergeCell ref="P36:R36"/>
    <mergeCell ref="B37:C37"/>
    <mergeCell ref="I37:J37"/>
    <mergeCell ref="K37:L37"/>
    <mergeCell ref="M37:O37"/>
    <mergeCell ref="P37:R37"/>
    <mergeCell ref="B38:C38"/>
    <mergeCell ref="D38:F38"/>
    <mergeCell ref="I38:J38"/>
    <mergeCell ref="K38:L38"/>
    <mergeCell ref="M38:O38"/>
    <mergeCell ref="P38:R38"/>
    <mergeCell ref="B39:C39"/>
    <mergeCell ref="I39:J39"/>
    <mergeCell ref="K39:L39"/>
    <mergeCell ref="M39:O39"/>
    <mergeCell ref="P39:R39"/>
    <mergeCell ref="B40:C40"/>
    <mergeCell ref="I40:J40"/>
    <mergeCell ref="K40:L40"/>
    <mergeCell ref="M40:O40"/>
    <mergeCell ref="P40:R40"/>
    <mergeCell ref="B41:C41"/>
    <mergeCell ref="D41:F41"/>
    <mergeCell ref="I41:J41"/>
    <mergeCell ref="K41:L41"/>
    <mergeCell ref="M41:O41"/>
    <mergeCell ref="P41:R41"/>
    <mergeCell ref="B42:C42"/>
    <mergeCell ref="I42:J42"/>
    <mergeCell ref="K42:L42"/>
    <mergeCell ref="M42:O42"/>
    <mergeCell ref="P42:R42"/>
    <mergeCell ref="B43:C43"/>
    <mergeCell ref="I43:J43"/>
    <mergeCell ref="K43:L43"/>
    <mergeCell ref="M43:O43"/>
    <mergeCell ref="P43:R43"/>
    <mergeCell ref="B44:C44"/>
    <mergeCell ref="D44:F44"/>
    <mergeCell ref="I44:J44"/>
    <mergeCell ref="K44:L44"/>
    <mergeCell ref="M44:O44"/>
    <mergeCell ref="P44:R44"/>
    <mergeCell ref="B45:C45"/>
    <mergeCell ref="I45:J45"/>
    <mergeCell ref="K45:L45"/>
    <mergeCell ref="M45:O45"/>
    <mergeCell ref="P45:R45"/>
    <mergeCell ref="B46:C46"/>
    <mergeCell ref="I46:J46"/>
    <mergeCell ref="K46:L46"/>
    <mergeCell ref="M46:O46"/>
    <mergeCell ref="P46:R46"/>
    <mergeCell ref="B47:C47"/>
    <mergeCell ref="D47:F47"/>
    <mergeCell ref="I47:J47"/>
    <mergeCell ref="K47:L47"/>
    <mergeCell ref="M47:O47"/>
    <mergeCell ref="P47:R47"/>
    <mergeCell ref="B48:C48"/>
    <mergeCell ref="I48:J48"/>
    <mergeCell ref="K48:L48"/>
    <mergeCell ref="M48:O48"/>
    <mergeCell ref="P48:R48"/>
    <mergeCell ref="B49:C49"/>
    <mergeCell ref="I49:J49"/>
    <mergeCell ref="K49:L49"/>
    <mergeCell ref="M49:O49"/>
    <mergeCell ref="P49:R49"/>
    <mergeCell ref="B50:C50"/>
    <mergeCell ref="D50:F50"/>
    <mergeCell ref="I50:J50"/>
    <mergeCell ref="K50:L50"/>
    <mergeCell ref="M50:O50"/>
    <mergeCell ref="P50:R50"/>
    <mergeCell ref="B51:C51"/>
    <mergeCell ref="I51:J51"/>
    <mergeCell ref="K51:L51"/>
    <mergeCell ref="M51:O51"/>
    <mergeCell ref="P51:R51"/>
    <mergeCell ref="B52:C52"/>
    <mergeCell ref="I52:J52"/>
    <mergeCell ref="K52:L52"/>
    <mergeCell ref="M52:O52"/>
    <mergeCell ref="P52:R52"/>
    <mergeCell ref="B53:C53"/>
    <mergeCell ref="D53:F53"/>
    <mergeCell ref="I53:J53"/>
    <mergeCell ref="K53:L53"/>
    <mergeCell ref="M53:O53"/>
    <mergeCell ref="P53:R53"/>
    <mergeCell ref="B54:C54"/>
    <mergeCell ref="I54:J54"/>
    <mergeCell ref="K54:L54"/>
    <mergeCell ref="M54:O54"/>
    <mergeCell ref="P54:R54"/>
    <mergeCell ref="B55:C55"/>
    <mergeCell ref="I55:J55"/>
    <mergeCell ref="K55:L55"/>
    <mergeCell ref="M55:O55"/>
    <mergeCell ref="P55:R55"/>
    <mergeCell ref="B56:C56"/>
    <mergeCell ref="D56:F56"/>
    <mergeCell ref="I56:J56"/>
    <mergeCell ref="K56:L56"/>
    <mergeCell ref="M56:O56"/>
    <mergeCell ref="P56:R56"/>
    <mergeCell ref="B57:C57"/>
    <mergeCell ref="I57:J57"/>
    <mergeCell ref="K57:L57"/>
    <mergeCell ref="M57:O57"/>
    <mergeCell ref="P57:R57"/>
    <mergeCell ref="B58:C58"/>
    <mergeCell ref="I58:J58"/>
    <mergeCell ref="K58:L58"/>
    <mergeCell ref="M58:O58"/>
    <mergeCell ref="P58:R58"/>
    <mergeCell ref="B59:C59"/>
    <mergeCell ref="D59:F59"/>
    <mergeCell ref="I59:J59"/>
    <mergeCell ref="K59:L59"/>
    <mergeCell ref="M59:O59"/>
    <mergeCell ref="P59:R59"/>
    <mergeCell ref="B60:C60"/>
    <mergeCell ref="I60:J60"/>
    <mergeCell ref="K60:L60"/>
    <mergeCell ref="M60:O60"/>
    <mergeCell ref="P60:R60"/>
    <mergeCell ref="B61:C61"/>
    <mergeCell ref="I61:J61"/>
    <mergeCell ref="K61:L61"/>
    <mergeCell ref="M61:O61"/>
    <mergeCell ref="P61:R61"/>
    <mergeCell ref="B62:C62"/>
    <mergeCell ref="D62:F62"/>
    <mergeCell ref="I62:J62"/>
    <mergeCell ref="K62:L62"/>
    <mergeCell ref="M62:O62"/>
    <mergeCell ref="P62:R62"/>
    <mergeCell ref="B63:C63"/>
    <mergeCell ref="I63:J63"/>
    <mergeCell ref="K63:L63"/>
    <mergeCell ref="M63:O63"/>
    <mergeCell ref="P63:R63"/>
    <mergeCell ref="B64:C64"/>
    <mergeCell ref="I64:J64"/>
    <mergeCell ref="K64:L64"/>
    <mergeCell ref="M64:O64"/>
    <mergeCell ref="P64:R64"/>
    <mergeCell ref="B65:C65"/>
    <mergeCell ref="D65:F65"/>
    <mergeCell ref="I65:J65"/>
    <mergeCell ref="K65:L65"/>
    <mergeCell ref="M65:O65"/>
    <mergeCell ref="P65:R65"/>
    <mergeCell ref="B66:C66"/>
    <mergeCell ref="I66:J66"/>
    <mergeCell ref="K66:L66"/>
    <mergeCell ref="M66:O66"/>
    <mergeCell ref="P66:R66"/>
    <mergeCell ref="B67:C67"/>
    <mergeCell ref="I67:J67"/>
    <mergeCell ref="K67:L67"/>
    <mergeCell ref="M67:O67"/>
    <mergeCell ref="P67:R67"/>
    <mergeCell ref="B68:C68"/>
    <mergeCell ref="D68:F68"/>
    <mergeCell ref="I68:J68"/>
    <mergeCell ref="K68:L68"/>
    <mergeCell ref="M68:O68"/>
    <mergeCell ref="P68:R68"/>
    <mergeCell ref="B69:C69"/>
    <mergeCell ref="I69:J69"/>
    <mergeCell ref="K69:L69"/>
    <mergeCell ref="M69:O69"/>
    <mergeCell ref="P69:R69"/>
    <mergeCell ref="B70:C70"/>
    <mergeCell ref="I70:J70"/>
    <mergeCell ref="K70:L70"/>
    <mergeCell ref="M70:O70"/>
    <mergeCell ref="P70:R70"/>
    <mergeCell ref="B71:C71"/>
    <mergeCell ref="D71:F71"/>
    <mergeCell ref="I71:J71"/>
    <mergeCell ref="K71:L71"/>
    <mergeCell ref="M71:O71"/>
    <mergeCell ref="P71:R71"/>
    <mergeCell ref="B72:C72"/>
    <mergeCell ref="I72:J72"/>
    <mergeCell ref="K72:L72"/>
    <mergeCell ref="M72:O72"/>
    <mergeCell ref="P72:R72"/>
    <mergeCell ref="B73:C73"/>
    <mergeCell ref="I73:J73"/>
    <mergeCell ref="K73:L73"/>
    <mergeCell ref="M73:O73"/>
    <mergeCell ref="P73:R73"/>
    <mergeCell ref="B74:C74"/>
    <mergeCell ref="D74:F74"/>
    <mergeCell ref="I74:J74"/>
    <mergeCell ref="K74:L74"/>
    <mergeCell ref="M74:O74"/>
    <mergeCell ref="P74:R74"/>
    <mergeCell ref="B75:C75"/>
    <mergeCell ref="I75:J75"/>
    <mergeCell ref="K75:L75"/>
    <mergeCell ref="M75:O75"/>
    <mergeCell ref="P75:R75"/>
    <mergeCell ref="B76:C76"/>
    <mergeCell ref="I76:J76"/>
    <mergeCell ref="K76:L76"/>
    <mergeCell ref="M76:O76"/>
    <mergeCell ref="P76:R76"/>
    <mergeCell ref="B77:C77"/>
    <mergeCell ref="D77:F77"/>
    <mergeCell ref="I77:J77"/>
    <mergeCell ref="K77:L77"/>
    <mergeCell ref="M77:O77"/>
    <mergeCell ref="P77:R77"/>
    <mergeCell ref="B78:C78"/>
    <mergeCell ref="I78:J78"/>
    <mergeCell ref="K78:L78"/>
    <mergeCell ref="M78:O78"/>
    <mergeCell ref="P78:R78"/>
    <mergeCell ref="B79:C79"/>
    <mergeCell ref="I79:J79"/>
    <mergeCell ref="K79:L79"/>
    <mergeCell ref="M79:O79"/>
    <mergeCell ref="P79:R79"/>
    <mergeCell ref="B80:C80"/>
    <mergeCell ref="D80:F80"/>
    <mergeCell ref="I80:J80"/>
    <mergeCell ref="K80:L80"/>
    <mergeCell ref="M80:O80"/>
    <mergeCell ref="P80:R80"/>
    <mergeCell ref="B81:C81"/>
    <mergeCell ref="I81:J81"/>
    <mergeCell ref="K81:L81"/>
    <mergeCell ref="M81:O81"/>
    <mergeCell ref="P81:R81"/>
    <mergeCell ref="B82:C82"/>
    <mergeCell ref="I82:J82"/>
    <mergeCell ref="K82:L82"/>
    <mergeCell ref="M82:O82"/>
    <mergeCell ref="P82:R82"/>
    <mergeCell ref="B83:C83"/>
    <mergeCell ref="D83:F83"/>
    <mergeCell ref="I83:J83"/>
    <mergeCell ref="K83:L83"/>
    <mergeCell ref="M83:O83"/>
    <mergeCell ref="P83:R83"/>
    <mergeCell ref="B84:C84"/>
    <mergeCell ref="I84:J84"/>
    <mergeCell ref="K84:L84"/>
    <mergeCell ref="M84:O84"/>
    <mergeCell ref="P84:R84"/>
    <mergeCell ref="B85:C85"/>
    <mergeCell ref="I85:J85"/>
    <mergeCell ref="K85:L85"/>
    <mergeCell ref="M85:O85"/>
    <mergeCell ref="P85:R85"/>
    <mergeCell ref="B86:C86"/>
    <mergeCell ref="D86:F86"/>
    <mergeCell ref="I86:J86"/>
    <mergeCell ref="K86:L86"/>
    <mergeCell ref="M86:O86"/>
    <mergeCell ref="P86:R86"/>
    <mergeCell ref="B87:C87"/>
    <mergeCell ref="I87:J87"/>
    <mergeCell ref="K87:L87"/>
    <mergeCell ref="M87:O87"/>
    <mergeCell ref="P87:R87"/>
    <mergeCell ref="B88:C88"/>
    <mergeCell ref="I88:J88"/>
    <mergeCell ref="K88:L88"/>
    <mergeCell ref="M88:O88"/>
    <mergeCell ref="P88:R88"/>
    <mergeCell ref="B89:C89"/>
    <mergeCell ref="D89:F89"/>
    <mergeCell ref="I89:J89"/>
    <mergeCell ref="K89:L89"/>
    <mergeCell ref="M89:O89"/>
    <mergeCell ref="P89:R89"/>
    <mergeCell ref="B90:C90"/>
    <mergeCell ref="I90:J90"/>
    <mergeCell ref="K90:L90"/>
    <mergeCell ref="M90:O90"/>
    <mergeCell ref="P90:R90"/>
    <mergeCell ref="B91:C91"/>
    <mergeCell ref="I91:J91"/>
    <mergeCell ref="K91:L91"/>
    <mergeCell ref="M91:O91"/>
    <mergeCell ref="P91:R91"/>
    <mergeCell ref="B92:C92"/>
    <mergeCell ref="D92:F92"/>
    <mergeCell ref="I92:J92"/>
    <mergeCell ref="K92:L92"/>
    <mergeCell ref="M92:O92"/>
    <mergeCell ref="P92:R92"/>
    <mergeCell ref="B93:C93"/>
    <mergeCell ref="I93:J93"/>
    <mergeCell ref="K93:L93"/>
    <mergeCell ref="M93:O93"/>
    <mergeCell ref="P93:R93"/>
    <mergeCell ref="B94:C94"/>
    <mergeCell ref="I94:J94"/>
    <mergeCell ref="K94:L94"/>
    <mergeCell ref="M94:O94"/>
    <mergeCell ref="P94:R94"/>
    <mergeCell ref="B95:C95"/>
    <mergeCell ref="D95:F95"/>
    <mergeCell ref="I95:J95"/>
    <mergeCell ref="K95:L95"/>
    <mergeCell ref="M95:O95"/>
    <mergeCell ref="P95:R95"/>
    <mergeCell ref="B96:C96"/>
    <mergeCell ref="I96:J96"/>
    <mergeCell ref="K96:L96"/>
    <mergeCell ref="M96:O96"/>
    <mergeCell ref="P96:R96"/>
    <mergeCell ref="B97:C97"/>
    <mergeCell ref="I97:J97"/>
    <mergeCell ref="K97:L97"/>
    <mergeCell ref="M97:O97"/>
    <mergeCell ref="P97:R97"/>
    <mergeCell ref="B98:C98"/>
    <mergeCell ref="D98:F98"/>
    <mergeCell ref="I98:J98"/>
    <mergeCell ref="K98:L98"/>
    <mergeCell ref="M98:O98"/>
    <mergeCell ref="P98:R98"/>
    <mergeCell ref="B99:C99"/>
    <mergeCell ref="I99:J99"/>
    <mergeCell ref="K99:L99"/>
    <mergeCell ref="M99:O99"/>
    <mergeCell ref="P99:R99"/>
    <mergeCell ref="B100:C100"/>
    <mergeCell ref="I100:J100"/>
    <mergeCell ref="K100:L100"/>
    <mergeCell ref="M100:O100"/>
    <mergeCell ref="P100:R100"/>
    <mergeCell ref="B101:C101"/>
    <mergeCell ref="D101:F101"/>
    <mergeCell ref="I101:J101"/>
    <mergeCell ref="K101:L101"/>
    <mergeCell ref="M101:O101"/>
    <mergeCell ref="P101:R101"/>
    <mergeCell ref="B102:C102"/>
    <mergeCell ref="I102:J102"/>
    <mergeCell ref="K102:L102"/>
    <mergeCell ref="M102:O102"/>
    <mergeCell ref="P102:R102"/>
    <mergeCell ref="B103:C103"/>
    <mergeCell ref="I103:J103"/>
    <mergeCell ref="K103:L103"/>
    <mergeCell ref="M103:O103"/>
    <mergeCell ref="P103:R103"/>
    <mergeCell ref="B104:C104"/>
    <mergeCell ref="D104:F104"/>
    <mergeCell ref="I104:J104"/>
    <mergeCell ref="K104:L104"/>
    <mergeCell ref="M104:O104"/>
    <mergeCell ref="P104:R104"/>
    <mergeCell ref="B105:C105"/>
    <mergeCell ref="I105:J105"/>
    <mergeCell ref="K105:L105"/>
    <mergeCell ref="M105:O105"/>
    <mergeCell ref="P105:R105"/>
    <mergeCell ref="B106:C106"/>
    <mergeCell ref="I106:J106"/>
    <mergeCell ref="K106:L106"/>
    <mergeCell ref="M106:O106"/>
    <mergeCell ref="P106:R106"/>
    <mergeCell ref="B107:C107"/>
    <mergeCell ref="D107:F107"/>
    <mergeCell ref="I107:J107"/>
    <mergeCell ref="K107:L107"/>
    <mergeCell ref="M107:O107"/>
    <mergeCell ref="P107:R107"/>
    <mergeCell ref="B108:C108"/>
    <mergeCell ref="I108:J108"/>
    <mergeCell ref="K108:L108"/>
    <mergeCell ref="M108:O108"/>
    <mergeCell ref="P108:R108"/>
    <mergeCell ref="B109:C109"/>
    <mergeCell ref="I109:J109"/>
    <mergeCell ref="K109:L109"/>
    <mergeCell ref="M109:O109"/>
    <mergeCell ref="P109:R109"/>
    <mergeCell ref="B110:C110"/>
    <mergeCell ref="D110:F110"/>
    <mergeCell ref="I110:J110"/>
    <mergeCell ref="K110:L110"/>
    <mergeCell ref="M110:O110"/>
    <mergeCell ref="P110:R110"/>
    <mergeCell ref="B111:C111"/>
    <mergeCell ref="I111:J111"/>
    <mergeCell ref="K111:L111"/>
    <mergeCell ref="M111:O111"/>
    <mergeCell ref="P111:R111"/>
    <mergeCell ref="B112:C112"/>
    <mergeCell ref="I112:J112"/>
    <mergeCell ref="K112:L112"/>
    <mergeCell ref="M112:O112"/>
    <mergeCell ref="P112:R112"/>
    <mergeCell ref="B113:C113"/>
    <mergeCell ref="D113:F113"/>
    <mergeCell ref="I113:J113"/>
    <mergeCell ref="K113:L113"/>
    <mergeCell ref="M113:O113"/>
    <mergeCell ref="P113:R113"/>
    <mergeCell ref="B114:C114"/>
    <mergeCell ref="I114:J114"/>
    <mergeCell ref="K114:L114"/>
    <mergeCell ref="M114:O114"/>
    <mergeCell ref="P114:R114"/>
    <mergeCell ref="B115:C115"/>
    <mergeCell ref="I115:J115"/>
    <mergeCell ref="K115:L115"/>
    <mergeCell ref="M115:O115"/>
    <mergeCell ref="P115:R115"/>
    <mergeCell ref="B116:C116"/>
    <mergeCell ref="D116:F116"/>
    <mergeCell ref="I116:J116"/>
    <mergeCell ref="K116:L116"/>
    <mergeCell ref="M116:O116"/>
    <mergeCell ref="P116:R116"/>
    <mergeCell ref="B117:C117"/>
    <mergeCell ref="I117:J117"/>
    <mergeCell ref="K117:L117"/>
    <mergeCell ref="M117:O117"/>
    <mergeCell ref="P117:R117"/>
    <mergeCell ref="B118:C118"/>
    <mergeCell ref="I118:J118"/>
    <mergeCell ref="K118:L118"/>
    <mergeCell ref="M118:O118"/>
    <mergeCell ref="P118:R118"/>
    <mergeCell ref="B119:C119"/>
    <mergeCell ref="D119:F119"/>
    <mergeCell ref="I119:J119"/>
    <mergeCell ref="K119:L119"/>
    <mergeCell ref="M119:O119"/>
    <mergeCell ref="P119:R119"/>
    <mergeCell ref="B120:C120"/>
    <mergeCell ref="I120:J120"/>
    <mergeCell ref="K120:L120"/>
    <mergeCell ref="M120:O120"/>
    <mergeCell ref="P120:R120"/>
    <mergeCell ref="B121:C121"/>
    <mergeCell ref="I121:J121"/>
    <mergeCell ref="K121:L121"/>
    <mergeCell ref="M121:O121"/>
    <mergeCell ref="P121:R121"/>
    <mergeCell ref="B122:C122"/>
    <mergeCell ref="D122:F122"/>
    <mergeCell ref="I122:J122"/>
    <mergeCell ref="K122:L122"/>
    <mergeCell ref="M122:O122"/>
    <mergeCell ref="P122:R122"/>
    <mergeCell ref="B123:C123"/>
    <mergeCell ref="I123:J123"/>
    <mergeCell ref="K123:L123"/>
    <mergeCell ref="M123:O123"/>
    <mergeCell ref="P123:R123"/>
    <mergeCell ref="B124:C124"/>
    <mergeCell ref="I124:J124"/>
    <mergeCell ref="K124:L124"/>
    <mergeCell ref="M124:O124"/>
    <mergeCell ref="P124:R124"/>
    <mergeCell ref="B125:C125"/>
    <mergeCell ref="D125:F125"/>
    <mergeCell ref="I125:J125"/>
    <mergeCell ref="K125:L125"/>
    <mergeCell ref="M125:O125"/>
    <mergeCell ref="P125:R125"/>
    <mergeCell ref="B126:C126"/>
    <mergeCell ref="I126:J126"/>
    <mergeCell ref="K126:L126"/>
    <mergeCell ref="M126:O126"/>
    <mergeCell ref="P126:R126"/>
    <mergeCell ref="B127:C127"/>
    <mergeCell ref="I127:J127"/>
    <mergeCell ref="K127:L127"/>
    <mergeCell ref="M127:O127"/>
    <mergeCell ref="P127:R127"/>
    <mergeCell ref="B128:C128"/>
    <mergeCell ref="D128:F128"/>
    <mergeCell ref="I128:J128"/>
    <mergeCell ref="K128:L128"/>
    <mergeCell ref="M128:O128"/>
    <mergeCell ref="P128:R128"/>
    <mergeCell ref="B129:C129"/>
    <mergeCell ref="I129:J129"/>
    <mergeCell ref="K129:L129"/>
    <mergeCell ref="M129:O129"/>
    <mergeCell ref="P129:R129"/>
    <mergeCell ref="B130:C130"/>
    <mergeCell ref="I130:J130"/>
    <mergeCell ref="K130:L130"/>
    <mergeCell ref="M130:O130"/>
    <mergeCell ref="P130:R130"/>
    <mergeCell ref="B131:C131"/>
    <mergeCell ref="D131:F131"/>
    <mergeCell ref="I131:J131"/>
    <mergeCell ref="K131:L131"/>
    <mergeCell ref="M131:O131"/>
    <mergeCell ref="P131:R131"/>
    <mergeCell ref="B132:C132"/>
    <mergeCell ref="I132:J132"/>
    <mergeCell ref="K132:L132"/>
    <mergeCell ref="M132:O132"/>
    <mergeCell ref="P132:R132"/>
    <mergeCell ref="B133:C133"/>
    <mergeCell ref="I133:J133"/>
    <mergeCell ref="K133:L133"/>
    <mergeCell ref="M133:O133"/>
    <mergeCell ref="P133:R133"/>
    <mergeCell ref="B134:C134"/>
    <mergeCell ref="D134:F134"/>
    <mergeCell ref="I134:J134"/>
    <mergeCell ref="K134:L134"/>
    <mergeCell ref="M134:O134"/>
    <mergeCell ref="P134:R134"/>
    <mergeCell ref="B135:C135"/>
    <mergeCell ref="I135:J135"/>
    <mergeCell ref="K135:L135"/>
    <mergeCell ref="M135:O135"/>
    <mergeCell ref="P135:R135"/>
    <mergeCell ref="B136:C136"/>
    <mergeCell ref="I136:J136"/>
    <mergeCell ref="K136:L136"/>
    <mergeCell ref="M136:O136"/>
    <mergeCell ref="P136:R136"/>
    <mergeCell ref="B137:C137"/>
    <mergeCell ref="D137:F137"/>
    <mergeCell ref="I137:J137"/>
    <mergeCell ref="K137:L137"/>
    <mergeCell ref="M137:O137"/>
    <mergeCell ref="P137:R137"/>
    <mergeCell ref="B138:C138"/>
    <mergeCell ref="I138:J138"/>
    <mergeCell ref="K138:L138"/>
    <mergeCell ref="M138:O138"/>
    <mergeCell ref="P138:R138"/>
    <mergeCell ref="B139:C139"/>
    <mergeCell ref="I139:J139"/>
    <mergeCell ref="K139:L139"/>
    <mergeCell ref="M139:O139"/>
    <mergeCell ref="P139:R139"/>
    <mergeCell ref="B140:C140"/>
    <mergeCell ref="D140:F140"/>
    <mergeCell ref="I140:J140"/>
    <mergeCell ref="K140:L140"/>
    <mergeCell ref="M140:O140"/>
    <mergeCell ref="P140:R140"/>
    <mergeCell ref="B141:C141"/>
    <mergeCell ref="I141:J141"/>
    <mergeCell ref="K141:L141"/>
    <mergeCell ref="M141:O141"/>
    <mergeCell ref="P141:R141"/>
    <mergeCell ref="B142:C142"/>
    <mergeCell ref="I142:J142"/>
    <mergeCell ref="K142:L142"/>
    <mergeCell ref="M142:O142"/>
    <mergeCell ref="P142:R142"/>
    <mergeCell ref="B143:C143"/>
    <mergeCell ref="D143:F143"/>
    <mergeCell ref="I143:J143"/>
    <mergeCell ref="K143:L143"/>
    <mergeCell ref="M143:O143"/>
    <mergeCell ref="P143:R143"/>
    <mergeCell ref="B144:C144"/>
    <mergeCell ref="I144:J144"/>
    <mergeCell ref="K144:L144"/>
    <mergeCell ref="M144:O144"/>
    <mergeCell ref="P144:R144"/>
    <mergeCell ref="B145:C145"/>
    <mergeCell ref="I145:J145"/>
    <mergeCell ref="K145:L145"/>
    <mergeCell ref="M145:O145"/>
    <mergeCell ref="P145:R145"/>
    <mergeCell ref="B146:C146"/>
    <mergeCell ref="D146:F146"/>
    <mergeCell ref="I146:J146"/>
    <mergeCell ref="K146:L146"/>
    <mergeCell ref="M146:O146"/>
    <mergeCell ref="P146:R146"/>
    <mergeCell ref="B147:C147"/>
    <mergeCell ref="I147:J147"/>
    <mergeCell ref="K147:L147"/>
    <mergeCell ref="M147:O147"/>
    <mergeCell ref="P147:R147"/>
    <mergeCell ref="B148:C148"/>
    <mergeCell ref="I148:J148"/>
    <mergeCell ref="K148:L148"/>
    <mergeCell ref="M148:O148"/>
    <mergeCell ref="P148:R148"/>
    <mergeCell ref="B149:C149"/>
    <mergeCell ref="D149:F149"/>
    <mergeCell ref="I149:J149"/>
    <mergeCell ref="K149:L149"/>
    <mergeCell ref="M149:O149"/>
    <mergeCell ref="P149:R149"/>
    <mergeCell ref="B150:C150"/>
    <mergeCell ref="I150:J150"/>
    <mergeCell ref="K150:L150"/>
    <mergeCell ref="M150:O150"/>
    <mergeCell ref="P150:R150"/>
    <mergeCell ref="B151:C151"/>
    <mergeCell ref="I151:J151"/>
    <mergeCell ref="K151:L151"/>
    <mergeCell ref="M151:O151"/>
    <mergeCell ref="P151:R151"/>
    <mergeCell ref="B152:C152"/>
    <mergeCell ref="D152:F152"/>
    <mergeCell ref="I152:J152"/>
    <mergeCell ref="K152:L152"/>
    <mergeCell ref="M152:O152"/>
    <mergeCell ref="P152:R152"/>
    <mergeCell ref="B153:C153"/>
    <mergeCell ref="I153:J153"/>
    <mergeCell ref="K153:L153"/>
    <mergeCell ref="M153:O153"/>
    <mergeCell ref="P153:R153"/>
    <mergeCell ref="B154:C154"/>
    <mergeCell ref="I154:J154"/>
    <mergeCell ref="K154:L154"/>
    <mergeCell ref="M154:O154"/>
    <mergeCell ref="P154:R154"/>
    <mergeCell ref="B155:C155"/>
    <mergeCell ref="D155:F155"/>
    <mergeCell ref="I155:J155"/>
    <mergeCell ref="K155:L155"/>
    <mergeCell ref="M155:O155"/>
    <mergeCell ref="P155:R155"/>
    <mergeCell ref="B156:C156"/>
    <mergeCell ref="I156:J156"/>
    <mergeCell ref="K156:L156"/>
    <mergeCell ref="M156:O156"/>
    <mergeCell ref="P156:R156"/>
    <mergeCell ref="B157:C157"/>
    <mergeCell ref="I157:J157"/>
    <mergeCell ref="K157:L157"/>
    <mergeCell ref="M157:O157"/>
    <mergeCell ref="P157:R157"/>
    <mergeCell ref="B158:C158"/>
    <mergeCell ref="D158:F158"/>
    <mergeCell ref="I158:J158"/>
    <mergeCell ref="K158:L158"/>
    <mergeCell ref="M158:O158"/>
    <mergeCell ref="P158:R158"/>
    <mergeCell ref="B159:C159"/>
    <mergeCell ref="I159:J159"/>
    <mergeCell ref="K159:L159"/>
    <mergeCell ref="M159:O159"/>
    <mergeCell ref="P159:R159"/>
    <mergeCell ref="B160:C160"/>
    <mergeCell ref="I160:J160"/>
    <mergeCell ref="K160:L160"/>
    <mergeCell ref="M160:O160"/>
    <mergeCell ref="P160:R160"/>
    <mergeCell ref="B161:C161"/>
    <mergeCell ref="D161:F161"/>
    <mergeCell ref="I161:J161"/>
    <mergeCell ref="K161:L161"/>
    <mergeCell ref="M161:O161"/>
    <mergeCell ref="P161:R161"/>
    <mergeCell ref="B162:C162"/>
    <mergeCell ref="I162:J162"/>
    <mergeCell ref="K162:L162"/>
    <mergeCell ref="M162:O162"/>
    <mergeCell ref="P162:R162"/>
    <mergeCell ref="B163:C163"/>
    <mergeCell ref="I163:J163"/>
    <mergeCell ref="K163:L163"/>
    <mergeCell ref="M163:O163"/>
    <mergeCell ref="P163:R163"/>
    <mergeCell ref="B164:C164"/>
    <mergeCell ref="D164:F164"/>
    <mergeCell ref="I164:J164"/>
    <mergeCell ref="K164:L164"/>
    <mergeCell ref="M164:O164"/>
    <mergeCell ref="P164:R164"/>
    <mergeCell ref="B165:C165"/>
    <mergeCell ref="I165:J165"/>
    <mergeCell ref="K165:L165"/>
    <mergeCell ref="M165:O165"/>
    <mergeCell ref="P165:R165"/>
    <mergeCell ref="B166:C166"/>
    <mergeCell ref="I166:J166"/>
    <mergeCell ref="K166:L166"/>
    <mergeCell ref="M166:O166"/>
    <mergeCell ref="P166:R166"/>
    <mergeCell ref="B167:C167"/>
    <mergeCell ref="D167:F167"/>
    <mergeCell ref="I167:J167"/>
    <mergeCell ref="K167:L167"/>
    <mergeCell ref="M167:O167"/>
    <mergeCell ref="P167:R167"/>
    <mergeCell ref="B168:C168"/>
    <mergeCell ref="I168:J168"/>
    <mergeCell ref="K168:L168"/>
    <mergeCell ref="M168:O168"/>
    <mergeCell ref="P168:R168"/>
    <mergeCell ref="B169:C169"/>
    <mergeCell ref="I169:J169"/>
    <mergeCell ref="K169:L169"/>
    <mergeCell ref="M169:O169"/>
    <mergeCell ref="P169:R169"/>
    <mergeCell ref="T20:T22"/>
    <mergeCell ref="T23:T25"/>
    <mergeCell ref="T26:T28"/>
    <mergeCell ref="T29:T31"/>
    <mergeCell ref="T32:T34"/>
    <mergeCell ref="T35:T37"/>
    <mergeCell ref="T38:T40"/>
    <mergeCell ref="T41:T43"/>
    <mergeCell ref="T44:T46"/>
    <mergeCell ref="T47:T49"/>
    <mergeCell ref="T50:T52"/>
    <mergeCell ref="T53:T55"/>
    <mergeCell ref="T56:T58"/>
    <mergeCell ref="T59:T61"/>
    <mergeCell ref="T62:T64"/>
    <mergeCell ref="T65:T67"/>
    <mergeCell ref="T68:T70"/>
    <mergeCell ref="T71:T73"/>
    <mergeCell ref="T74:T76"/>
    <mergeCell ref="T77:T79"/>
    <mergeCell ref="T80:T82"/>
    <mergeCell ref="T83:T85"/>
    <mergeCell ref="T86:T88"/>
    <mergeCell ref="T89:T91"/>
    <mergeCell ref="T92:T94"/>
    <mergeCell ref="T95:T97"/>
    <mergeCell ref="T98:T100"/>
    <mergeCell ref="T101:T103"/>
    <mergeCell ref="T104:T106"/>
    <mergeCell ref="T107:T109"/>
    <mergeCell ref="T110:T112"/>
    <mergeCell ref="T113:T115"/>
    <mergeCell ref="T116:T118"/>
    <mergeCell ref="T119:T121"/>
    <mergeCell ref="T122:T124"/>
    <mergeCell ref="T125:T127"/>
    <mergeCell ref="T128:T130"/>
    <mergeCell ref="T131:T133"/>
    <mergeCell ref="T134:T136"/>
    <mergeCell ref="T137:T139"/>
    <mergeCell ref="T140:T142"/>
    <mergeCell ref="T143:T145"/>
    <mergeCell ref="T146:T148"/>
    <mergeCell ref="T149:T151"/>
    <mergeCell ref="T152:T154"/>
    <mergeCell ref="T155:T157"/>
    <mergeCell ref="T158:T160"/>
    <mergeCell ref="T161:T163"/>
    <mergeCell ref="T164:T166"/>
    <mergeCell ref="T167:T169"/>
    <mergeCell ref="U20:U22"/>
    <mergeCell ref="U23:U25"/>
    <mergeCell ref="U26:U28"/>
    <mergeCell ref="U29:U31"/>
    <mergeCell ref="U32:U34"/>
    <mergeCell ref="U35:U37"/>
    <mergeCell ref="U38:U40"/>
    <mergeCell ref="U41:U43"/>
    <mergeCell ref="U44:U46"/>
    <mergeCell ref="U47:U49"/>
    <mergeCell ref="U50:U52"/>
    <mergeCell ref="U53:U55"/>
    <mergeCell ref="U56:U58"/>
    <mergeCell ref="U59:U61"/>
    <mergeCell ref="U62:U64"/>
    <mergeCell ref="U65:U67"/>
    <mergeCell ref="U68:U70"/>
    <mergeCell ref="U71:U73"/>
    <mergeCell ref="U74:U76"/>
    <mergeCell ref="U77:U79"/>
    <mergeCell ref="U80:U82"/>
    <mergeCell ref="U83:U85"/>
    <mergeCell ref="U86:U88"/>
    <mergeCell ref="U89:U91"/>
    <mergeCell ref="U92:U94"/>
    <mergeCell ref="U95:U97"/>
    <mergeCell ref="U98:U100"/>
    <mergeCell ref="U101:U103"/>
    <mergeCell ref="U104:U106"/>
    <mergeCell ref="U107:U109"/>
    <mergeCell ref="U110:U112"/>
    <mergeCell ref="U113:U115"/>
    <mergeCell ref="U116:U118"/>
    <mergeCell ref="U119:U121"/>
    <mergeCell ref="U122:U124"/>
    <mergeCell ref="U125:U127"/>
    <mergeCell ref="U128:U130"/>
    <mergeCell ref="U131:U133"/>
    <mergeCell ref="U134:U136"/>
    <mergeCell ref="U137:U139"/>
    <mergeCell ref="U140:U142"/>
    <mergeCell ref="U143:U145"/>
    <mergeCell ref="U146:U148"/>
    <mergeCell ref="U149:U151"/>
    <mergeCell ref="U152:U154"/>
    <mergeCell ref="U155:U157"/>
    <mergeCell ref="U158:U160"/>
    <mergeCell ref="U161:U163"/>
    <mergeCell ref="U164:U166"/>
    <mergeCell ref="U167:U169"/>
    <mergeCell ref="V20:V70"/>
    <mergeCell ref="V71:V73"/>
    <mergeCell ref="V74:V76"/>
    <mergeCell ref="V77:V79"/>
    <mergeCell ref="V80:V82"/>
    <mergeCell ref="V83:V85"/>
    <mergeCell ref="V86:V88"/>
    <mergeCell ref="V89:V91"/>
    <mergeCell ref="V92:V94"/>
    <mergeCell ref="V95:V97"/>
    <mergeCell ref="V98:V100"/>
    <mergeCell ref="V101:V103"/>
    <mergeCell ref="V104:V106"/>
    <mergeCell ref="V107:V109"/>
    <mergeCell ref="V110:V112"/>
    <mergeCell ref="V113:V115"/>
    <mergeCell ref="V116:V118"/>
    <mergeCell ref="V119:V121"/>
    <mergeCell ref="V122:V124"/>
    <mergeCell ref="V125:V127"/>
    <mergeCell ref="V128:V130"/>
    <mergeCell ref="V131:V133"/>
    <mergeCell ref="V134:V136"/>
    <mergeCell ref="V137:V139"/>
    <mergeCell ref="V140:V142"/>
    <mergeCell ref="V143:V145"/>
    <mergeCell ref="V146:V148"/>
    <mergeCell ref="V149:V151"/>
    <mergeCell ref="V152:V154"/>
    <mergeCell ref="V155:V157"/>
    <mergeCell ref="V158:V160"/>
    <mergeCell ref="V161:V163"/>
    <mergeCell ref="V164:V166"/>
    <mergeCell ref="V167:V169"/>
    <mergeCell ref="D21:F22"/>
    <mergeCell ref="D24:F25"/>
    <mergeCell ref="D27:F28"/>
    <mergeCell ref="D30:F31"/>
    <mergeCell ref="D33:F34"/>
    <mergeCell ref="D36:F37"/>
    <mergeCell ref="D39:F40"/>
    <mergeCell ref="D42:F43"/>
    <mergeCell ref="D45:F46"/>
    <mergeCell ref="D48:F49"/>
    <mergeCell ref="D51:F52"/>
    <mergeCell ref="D54:F55"/>
    <mergeCell ref="D57:F58"/>
    <mergeCell ref="D60:F61"/>
    <mergeCell ref="D63:F64"/>
    <mergeCell ref="D66:F67"/>
    <mergeCell ref="D69:F70"/>
    <mergeCell ref="D72:F73"/>
    <mergeCell ref="D75:F76"/>
    <mergeCell ref="D78:F79"/>
    <mergeCell ref="D81:F82"/>
    <mergeCell ref="D84:F85"/>
    <mergeCell ref="D87:F88"/>
    <mergeCell ref="D90:F91"/>
    <mergeCell ref="D93:F94"/>
    <mergeCell ref="D96:F97"/>
    <mergeCell ref="D99:F100"/>
    <mergeCell ref="D102:F103"/>
    <mergeCell ref="D105:F106"/>
    <mergeCell ref="D108:F109"/>
    <mergeCell ref="D111:F112"/>
    <mergeCell ref="D114:F115"/>
    <mergeCell ref="D117:F118"/>
    <mergeCell ref="D120:F121"/>
    <mergeCell ref="D123:F124"/>
    <mergeCell ref="D126:F127"/>
    <mergeCell ref="D129:F130"/>
    <mergeCell ref="D132:F133"/>
    <mergeCell ref="D135:F136"/>
    <mergeCell ref="D138:F139"/>
    <mergeCell ref="D141:F142"/>
    <mergeCell ref="D144:F145"/>
    <mergeCell ref="D147:F148"/>
    <mergeCell ref="D150:F151"/>
    <mergeCell ref="D153:F154"/>
    <mergeCell ref="D156:F157"/>
    <mergeCell ref="D159:F160"/>
    <mergeCell ref="D162:F163"/>
    <mergeCell ref="D165:F166"/>
    <mergeCell ref="D168:F169"/>
  </mergeCells>
  <hyperlinks>
    <hyperlink ref="U16" r:id="rId2"/>
    <hyperlink ref="U15" r:id="rId2"/>
    <hyperlink ref="W15" r:id="rId2" display="https://e-service.shciq.gov.cn/shesp/" tooltip="https://e-service.shciq.gov.cn/shesp/"/>
    <hyperlink ref="W16" r:id="rId3" display="http://www.hscode.net/IntegrateQueries/QueryYS/" tooltip="http://www.hscode.net/IntegrateQueries/QueryYS/"/>
  </hyperlinks>
  <pageMargins left="0.16" right="0.04" top="0.16" bottom="0.08" header="0.08" footer="0.12"/>
  <pageSetup paperSize="9" scale="82" fitToHeight="0" orientation="landscape" horizontalDpi="600" verticalDpi="600"/>
  <headerFooter alignWithMargins="0" scaleWithDoc="0"/>
  <rowBreaks count="4" manualBreakCount="4">
    <brk id="43" max="19" man="1"/>
    <brk id="85" max="19" man="1"/>
    <brk id="127" max="19" man="1"/>
    <brk id="169" max="19"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59"/>
  <sheetViews>
    <sheetView showZeros="0" view="pageBreakPreview" zoomScaleNormal="100" workbookViewId="0">
      <selection activeCell="H10" sqref="H10"/>
    </sheetView>
  </sheetViews>
  <sheetFormatPr defaultColWidth="9" defaultRowHeight="14.25"/>
  <cols>
    <col min="1" max="1" width="9" style="247"/>
    <col min="2" max="2" width="17.625" style="247" customWidth="1"/>
    <col min="3" max="3" width="14" style="247" customWidth="1"/>
    <col min="4" max="4" width="9.75" style="247" customWidth="1"/>
    <col min="5" max="5" width="10.625" style="247" customWidth="1"/>
    <col min="6" max="6" width="17.125" style="247" customWidth="1"/>
    <col min="7" max="7" width="10.375" style="248" customWidth="1"/>
    <col min="8" max="8" width="13.875" style="247" customWidth="1"/>
    <col min="9" max="9" width="69.25" style="247" customWidth="1"/>
    <col min="10" max="16384" width="9" style="249"/>
  </cols>
  <sheetData>
    <row r="1" s="245" customFormat="1" spans="1:9">
      <c r="A1" s="250" t="s">
        <v>103</v>
      </c>
      <c r="G1" s="251"/>
    </row>
    <row r="2" s="245" customFormat="1" spans="1:9">
      <c r="A2" s="252" t="s">
        <v>104</v>
      </c>
      <c r="G2" s="251"/>
    </row>
    <row r="3" s="245" customFormat="1" spans="1:9">
      <c r="A3" s="253" t="s">
        <v>105</v>
      </c>
      <c r="G3" s="251"/>
    </row>
    <row r="4" s="245" customFormat="1" spans="1:9">
      <c r="B4" s="254"/>
      <c r="C4" s="254" t="s">
        <v>73</v>
      </c>
      <c r="G4" s="251"/>
    </row>
    <row r="5" s="245" customFormat="1" spans="1:9">
      <c r="A5" s="245" t="s">
        <v>106</v>
      </c>
      <c r="B5" s="255"/>
      <c r="C5" s="255" t="s">
        <v>76</v>
      </c>
      <c r="G5" s="251"/>
    </row>
    <row r="6" s="245" customFormat="1" spans="1:9">
      <c r="G6" s="251"/>
    </row>
    <row r="8" ht="25.5" spans="1:9">
      <c r="A8" s="256" t="s">
        <v>107</v>
      </c>
      <c r="B8" s="256"/>
      <c r="C8" s="256"/>
      <c r="D8" s="256"/>
      <c r="E8" s="256"/>
      <c r="F8" s="256"/>
      <c r="G8" s="257"/>
      <c r="H8" s="256"/>
      <c r="I8" s="256"/>
    </row>
    <row r="9" s="246" customFormat="1" ht="12" spans="1:9">
      <c r="A9" s="258" t="s">
        <v>108</v>
      </c>
      <c r="B9" s="258" t="s">
        <v>109</v>
      </c>
      <c r="C9" s="258" t="s">
        <v>110</v>
      </c>
      <c r="D9" s="258" t="s">
        <v>111</v>
      </c>
      <c r="E9" s="258" t="s">
        <v>112</v>
      </c>
      <c r="F9" s="258" t="s">
        <v>113</v>
      </c>
      <c r="G9" s="259" t="s">
        <v>114</v>
      </c>
      <c r="H9" s="258" t="s">
        <v>115</v>
      </c>
      <c r="I9" s="258" t="s">
        <v>116</v>
      </c>
    </row>
    <row r="10" ht="22" customHeight="1" spans="1:9">
      <c r="A10" s="260">
        <v>1</v>
      </c>
      <c r="B10" s="261" t="s">
        <v>117</v>
      </c>
      <c r="C10" s="260">
        <v>9113900090</v>
      </c>
      <c r="D10" s="260"/>
      <c r="E10" s="262" t="s">
        <v>118</v>
      </c>
      <c r="F10" s="129" t="s">
        <v>119</v>
      </c>
      <c r="G10" s="262" t="s">
        <v>118</v>
      </c>
      <c r="H10" s="261" t="s">
        <v>120</v>
      </c>
      <c r="I10" s="260" t="s">
        <v>121</v>
      </c>
    </row>
    <row r="11" spans="1:9">
      <c r="A11" s="260">
        <v>2</v>
      </c>
      <c r="B11" s="261" t="s">
        <v>117</v>
      </c>
      <c r="C11" s="260">
        <v>9113900090</v>
      </c>
      <c r="D11" s="260"/>
      <c r="E11" s="262" t="s">
        <v>118</v>
      </c>
      <c r="F11" s="129" t="s">
        <v>122</v>
      </c>
      <c r="G11" s="262" t="s">
        <v>118</v>
      </c>
      <c r="H11" s="261" t="s">
        <v>120</v>
      </c>
      <c r="I11" s="260" t="s">
        <v>121</v>
      </c>
    </row>
    <row r="12" spans="1:9">
      <c r="A12" s="260">
        <v>3</v>
      </c>
      <c r="B12" s="261" t="s">
        <v>117</v>
      </c>
      <c r="C12" s="260">
        <v>9113900090</v>
      </c>
      <c r="D12" s="260"/>
      <c r="E12" s="262" t="s">
        <v>118</v>
      </c>
      <c r="F12" s="129" t="s">
        <v>123</v>
      </c>
      <c r="G12" s="262" t="s">
        <v>118</v>
      </c>
      <c r="H12" s="261" t="s">
        <v>120</v>
      </c>
      <c r="I12" s="260" t="s">
        <v>121</v>
      </c>
    </row>
    <row r="13" spans="1:9">
      <c r="A13" s="260">
        <v>4</v>
      </c>
      <c r="B13" s="261" t="s">
        <v>117</v>
      </c>
      <c r="C13" s="260">
        <v>9113900090</v>
      </c>
      <c r="D13" s="260"/>
      <c r="E13" s="262" t="s">
        <v>118</v>
      </c>
      <c r="F13" s="129" t="s">
        <v>124</v>
      </c>
      <c r="G13" s="262" t="s">
        <v>118</v>
      </c>
      <c r="H13" s="261" t="s">
        <v>120</v>
      </c>
      <c r="I13" s="260" t="s">
        <v>121</v>
      </c>
    </row>
    <row r="14" spans="1:9">
      <c r="A14" s="260">
        <v>5</v>
      </c>
      <c r="B14" s="261" t="s">
        <v>117</v>
      </c>
      <c r="C14" s="260">
        <v>9113900090</v>
      </c>
      <c r="D14" s="260"/>
      <c r="E14" s="262" t="s">
        <v>118</v>
      </c>
      <c r="F14" s="129" t="s">
        <v>125</v>
      </c>
      <c r="G14" s="262" t="s">
        <v>118</v>
      </c>
      <c r="H14" s="261" t="s">
        <v>120</v>
      </c>
      <c r="I14" s="260" t="s">
        <v>121</v>
      </c>
    </row>
    <row r="15" spans="1:9">
      <c r="A15" s="260">
        <v>6</v>
      </c>
      <c r="B15" s="261" t="s">
        <v>117</v>
      </c>
      <c r="C15" s="260">
        <v>9113900090</v>
      </c>
      <c r="D15" s="260"/>
      <c r="E15" s="262" t="s">
        <v>118</v>
      </c>
      <c r="F15" s="129" t="s">
        <v>126</v>
      </c>
      <c r="G15" s="262" t="s">
        <v>118</v>
      </c>
      <c r="H15" s="261" t="s">
        <v>120</v>
      </c>
      <c r="I15" s="260" t="s">
        <v>121</v>
      </c>
    </row>
    <row r="16" spans="1:9">
      <c r="A16" s="260">
        <v>7</v>
      </c>
      <c r="B16" s="261" t="s">
        <v>117</v>
      </c>
      <c r="C16" s="260">
        <v>9113900090</v>
      </c>
      <c r="D16" s="260"/>
      <c r="E16" s="262" t="s">
        <v>118</v>
      </c>
      <c r="F16" s="129" t="s">
        <v>127</v>
      </c>
      <c r="G16" s="262" t="s">
        <v>118</v>
      </c>
      <c r="H16" s="261" t="s">
        <v>120</v>
      </c>
      <c r="I16" s="260" t="s">
        <v>121</v>
      </c>
    </row>
    <row r="17" spans="1:9">
      <c r="A17" s="260">
        <v>8</v>
      </c>
      <c r="B17" s="261" t="s">
        <v>128</v>
      </c>
      <c r="C17" s="260">
        <v>9113900090</v>
      </c>
      <c r="D17" s="260"/>
      <c r="E17" s="262" t="s">
        <v>118</v>
      </c>
      <c r="F17" s="129" t="s">
        <v>129</v>
      </c>
      <c r="G17" s="262" t="s">
        <v>118</v>
      </c>
      <c r="H17" s="261" t="s">
        <v>120</v>
      </c>
      <c r="I17" s="260" t="s">
        <v>130</v>
      </c>
    </row>
    <row r="18" spans="1:9">
      <c r="A18" s="260">
        <v>9</v>
      </c>
      <c r="B18" s="261" t="s">
        <v>128</v>
      </c>
      <c r="C18" s="260">
        <v>9113900090</v>
      </c>
      <c r="D18" s="260"/>
      <c r="E18" s="262" t="s">
        <v>118</v>
      </c>
      <c r="F18" s="129" t="s">
        <v>131</v>
      </c>
      <c r="G18" s="262" t="s">
        <v>118</v>
      </c>
      <c r="H18" s="261" t="s">
        <v>120</v>
      </c>
      <c r="I18" s="260" t="s">
        <v>130</v>
      </c>
    </row>
    <row r="19" spans="1:9">
      <c r="A19" s="260">
        <v>10</v>
      </c>
      <c r="B19" s="261" t="s">
        <v>128</v>
      </c>
      <c r="C19" s="260">
        <v>9113200000</v>
      </c>
      <c r="D19" s="260"/>
      <c r="E19" s="262" t="s">
        <v>118</v>
      </c>
      <c r="F19" s="129" t="s">
        <v>132</v>
      </c>
      <c r="G19" s="262" t="s">
        <v>118</v>
      </c>
      <c r="H19" s="261" t="s">
        <v>120</v>
      </c>
      <c r="I19" s="260" t="s">
        <v>133</v>
      </c>
    </row>
    <row r="20" spans="1:9">
      <c r="A20" s="260">
        <v>11</v>
      </c>
      <c r="B20" s="261" t="s">
        <v>128</v>
      </c>
      <c r="C20" s="260">
        <v>9113200000</v>
      </c>
      <c r="D20" s="260"/>
      <c r="E20" s="262" t="s">
        <v>118</v>
      </c>
      <c r="F20" s="129" t="s">
        <v>134</v>
      </c>
      <c r="G20" s="262" t="s">
        <v>118</v>
      </c>
      <c r="H20" s="261" t="s">
        <v>120</v>
      </c>
      <c r="I20" s="260" t="s">
        <v>133</v>
      </c>
    </row>
    <row r="21" spans="1:9">
      <c r="A21" s="260">
        <v>12</v>
      </c>
      <c r="B21" s="261" t="s">
        <v>135</v>
      </c>
      <c r="C21" s="260">
        <v>9113900090</v>
      </c>
      <c r="D21" s="260"/>
      <c r="E21" s="262" t="s">
        <v>118</v>
      </c>
      <c r="F21" s="129" t="s">
        <v>136</v>
      </c>
      <c r="G21" s="262" t="s">
        <v>118</v>
      </c>
      <c r="H21" s="261" t="s">
        <v>120</v>
      </c>
      <c r="I21" s="260" t="s">
        <v>130</v>
      </c>
    </row>
    <row r="22" spans="1:9">
      <c r="A22" s="260">
        <v>13</v>
      </c>
      <c r="B22" s="261" t="s">
        <v>137</v>
      </c>
      <c r="C22" s="260">
        <v>9113200000</v>
      </c>
      <c r="D22" s="260"/>
      <c r="E22" s="262" t="s">
        <v>118</v>
      </c>
      <c r="F22" s="129" t="s">
        <v>138</v>
      </c>
      <c r="G22" s="262" t="s">
        <v>118</v>
      </c>
      <c r="H22" s="261" t="s">
        <v>120</v>
      </c>
      <c r="I22" s="260" t="s">
        <v>133</v>
      </c>
    </row>
    <row r="23" spans="1:9">
      <c r="A23" s="260">
        <v>14</v>
      </c>
      <c r="B23" s="261" t="s">
        <v>137</v>
      </c>
      <c r="C23" s="260">
        <v>9113200000</v>
      </c>
      <c r="D23" s="260"/>
      <c r="E23" s="262" t="s">
        <v>118</v>
      </c>
      <c r="F23" s="129" t="s">
        <v>138</v>
      </c>
      <c r="G23" s="262" t="s">
        <v>118</v>
      </c>
      <c r="H23" s="261" t="s">
        <v>120</v>
      </c>
      <c r="I23" s="260" t="s">
        <v>133</v>
      </c>
    </row>
    <row r="24" spans="1:9">
      <c r="A24" s="260">
        <v>15</v>
      </c>
      <c r="B24" s="261" t="s">
        <v>137</v>
      </c>
      <c r="C24" s="260">
        <v>9113200000</v>
      </c>
      <c r="D24" s="260"/>
      <c r="E24" s="262" t="s">
        <v>118</v>
      </c>
      <c r="F24" s="129" t="s">
        <v>138</v>
      </c>
      <c r="G24" s="262" t="s">
        <v>118</v>
      </c>
      <c r="H24" s="261" t="s">
        <v>120</v>
      </c>
      <c r="I24" s="260" t="s">
        <v>133</v>
      </c>
    </row>
    <row r="25" spans="1:9">
      <c r="A25" s="260">
        <v>16</v>
      </c>
      <c r="B25" s="261" t="s">
        <v>137</v>
      </c>
      <c r="C25" s="260">
        <v>9113200000</v>
      </c>
      <c r="D25" s="260"/>
      <c r="E25" s="262" t="s">
        <v>118</v>
      </c>
      <c r="F25" s="129" t="s">
        <v>138</v>
      </c>
      <c r="G25" s="262" t="s">
        <v>118</v>
      </c>
      <c r="H25" s="261" t="s">
        <v>120</v>
      </c>
      <c r="I25" s="260" t="s">
        <v>133</v>
      </c>
    </row>
    <row r="26" spans="1:9">
      <c r="A26" s="260">
        <v>17</v>
      </c>
      <c r="B26" s="261" t="s">
        <v>137</v>
      </c>
      <c r="C26" s="260">
        <v>9113200000</v>
      </c>
      <c r="D26" s="260"/>
      <c r="E26" s="262" t="s">
        <v>118</v>
      </c>
      <c r="F26" s="129" t="s">
        <v>138</v>
      </c>
      <c r="G26" s="262" t="s">
        <v>118</v>
      </c>
      <c r="H26" s="261" t="s">
        <v>120</v>
      </c>
      <c r="I26" s="260" t="s">
        <v>133</v>
      </c>
    </row>
    <row r="27" spans="1:9">
      <c r="A27" s="260">
        <v>18</v>
      </c>
      <c r="B27" s="261" t="s">
        <v>137</v>
      </c>
      <c r="C27" s="260">
        <v>9113200000</v>
      </c>
      <c r="D27" s="260"/>
      <c r="E27" s="262" t="s">
        <v>118</v>
      </c>
      <c r="F27" s="129" t="s">
        <v>138</v>
      </c>
      <c r="G27" s="262" t="s">
        <v>118</v>
      </c>
      <c r="H27" s="261" t="s">
        <v>120</v>
      </c>
      <c r="I27" s="260" t="s">
        <v>133</v>
      </c>
    </row>
    <row r="28" spans="1:9">
      <c r="A28" s="260">
        <v>19</v>
      </c>
      <c r="B28" s="261" t="s">
        <v>137</v>
      </c>
      <c r="C28" s="260">
        <v>9113200000</v>
      </c>
      <c r="D28" s="260"/>
      <c r="E28" s="262" t="s">
        <v>118</v>
      </c>
      <c r="F28" s="129" t="s">
        <v>138</v>
      </c>
      <c r="G28" s="262" t="s">
        <v>118</v>
      </c>
      <c r="H28" s="261" t="s">
        <v>120</v>
      </c>
      <c r="I28" s="260" t="s">
        <v>133</v>
      </c>
    </row>
    <row r="29" spans="1:9">
      <c r="A29" s="260">
        <v>20</v>
      </c>
      <c r="B29" s="261" t="s">
        <v>137</v>
      </c>
      <c r="C29" s="260">
        <v>9113200000</v>
      </c>
      <c r="D29" s="260"/>
      <c r="E29" s="262" t="s">
        <v>118</v>
      </c>
      <c r="F29" s="129" t="s">
        <v>138</v>
      </c>
      <c r="G29" s="262" t="s">
        <v>118</v>
      </c>
      <c r="H29" s="261" t="s">
        <v>120</v>
      </c>
      <c r="I29" s="260" t="s">
        <v>133</v>
      </c>
    </row>
    <row r="30" spans="1:9">
      <c r="A30" s="260">
        <v>21</v>
      </c>
      <c r="B30" s="261" t="s">
        <v>137</v>
      </c>
      <c r="C30" s="260">
        <v>9113200000</v>
      </c>
      <c r="D30" s="260"/>
      <c r="E30" s="262" t="s">
        <v>118</v>
      </c>
      <c r="F30" s="129" t="s">
        <v>138</v>
      </c>
      <c r="G30" s="262" t="s">
        <v>118</v>
      </c>
      <c r="H30" s="261" t="s">
        <v>120</v>
      </c>
      <c r="I30" s="260" t="s">
        <v>133</v>
      </c>
    </row>
    <row r="31" spans="1:9">
      <c r="A31" s="260">
        <v>22</v>
      </c>
      <c r="B31" s="261" t="s">
        <v>137</v>
      </c>
      <c r="C31" s="260">
        <v>9113200000</v>
      </c>
      <c r="D31" s="260"/>
      <c r="E31" s="262" t="s">
        <v>118</v>
      </c>
      <c r="F31" s="129" t="s">
        <v>138</v>
      </c>
      <c r="G31" s="262" t="s">
        <v>118</v>
      </c>
      <c r="H31" s="261" t="s">
        <v>120</v>
      </c>
      <c r="I31" s="260" t="s">
        <v>133</v>
      </c>
    </row>
    <row r="32" spans="1:9">
      <c r="A32" s="260">
        <v>23</v>
      </c>
      <c r="B32" s="261" t="s">
        <v>137</v>
      </c>
      <c r="C32" s="260">
        <v>9113200000</v>
      </c>
      <c r="D32" s="260"/>
      <c r="E32" s="262" t="s">
        <v>118</v>
      </c>
      <c r="F32" s="129" t="s">
        <v>138</v>
      </c>
      <c r="G32" s="262" t="s">
        <v>118</v>
      </c>
      <c r="H32" s="261" t="s">
        <v>120</v>
      </c>
      <c r="I32" s="260" t="s">
        <v>133</v>
      </c>
    </row>
    <row r="33" spans="1:9">
      <c r="A33" s="260">
        <v>24</v>
      </c>
      <c r="B33" s="261" t="s">
        <v>137</v>
      </c>
      <c r="C33" s="260">
        <v>9113200000</v>
      </c>
      <c r="D33" s="260"/>
      <c r="E33" s="262" t="s">
        <v>118</v>
      </c>
      <c r="F33" s="129" t="s">
        <v>138</v>
      </c>
      <c r="G33" s="262" t="s">
        <v>118</v>
      </c>
      <c r="H33" s="261" t="s">
        <v>120</v>
      </c>
      <c r="I33" s="260" t="s">
        <v>133</v>
      </c>
    </row>
    <row r="34" spans="1:9">
      <c r="A34" s="260">
        <v>25</v>
      </c>
      <c r="B34" s="261" t="s">
        <v>137</v>
      </c>
      <c r="C34" s="260">
        <v>9113200000</v>
      </c>
      <c r="D34" s="260"/>
      <c r="E34" s="262" t="s">
        <v>118</v>
      </c>
      <c r="F34" s="129" t="s">
        <v>138</v>
      </c>
      <c r="G34" s="262" t="s">
        <v>118</v>
      </c>
      <c r="H34" s="261" t="s">
        <v>120</v>
      </c>
      <c r="I34" s="260" t="s">
        <v>133</v>
      </c>
    </row>
    <row r="35" spans="1:9">
      <c r="A35" s="260">
        <v>26</v>
      </c>
      <c r="B35" s="261" t="s">
        <v>137</v>
      </c>
      <c r="C35" s="260">
        <v>9113200000</v>
      </c>
      <c r="D35" s="260"/>
      <c r="E35" s="262" t="s">
        <v>118</v>
      </c>
      <c r="F35" s="129" t="s">
        <v>138</v>
      </c>
      <c r="G35" s="262" t="s">
        <v>118</v>
      </c>
      <c r="H35" s="261" t="s">
        <v>120</v>
      </c>
      <c r="I35" s="260" t="s">
        <v>133</v>
      </c>
    </row>
    <row r="36" spans="1:9">
      <c r="A36" s="260">
        <v>27</v>
      </c>
      <c r="B36" s="261" t="s">
        <v>137</v>
      </c>
      <c r="C36" s="260">
        <v>9113200000</v>
      </c>
      <c r="D36" s="260"/>
      <c r="E36" s="262" t="s">
        <v>118</v>
      </c>
      <c r="F36" s="129" t="s">
        <v>138</v>
      </c>
      <c r="G36" s="262" t="s">
        <v>118</v>
      </c>
      <c r="H36" s="261" t="s">
        <v>120</v>
      </c>
      <c r="I36" s="260" t="s">
        <v>133</v>
      </c>
    </row>
    <row r="37" spans="1:9">
      <c r="A37" s="260">
        <v>28</v>
      </c>
      <c r="B37" s="261" t="s">
        <v>137</v>
      </c>
      <c r="C37" s="260">
        <v>9113200000</v>
      </c>
      <c r="D37" s="260"/>
      <c r="E37" s="262" t="s">
        <v>118</v>
      </c>
      <c r="F37" s="129" t="s">
        <v>138</v>
      </c>
      <c r="G37" s="262" t="s">
        <v>118</v>
      </c>
      <c r="H37" s="261" t="s">
        <v>120</v>
      </c>
      <c r="I37" s="260" t="s">
        <v>133</v>
      </c>
    </row>
    <row r="38" spans="1:9">
      <c r="A38" s="260">
        <v>29</v>
      </c>
      <c r="B38" s="261" t="s">
        <v>137</v>
      </c>
      <c r="C38" s="260">
        <v>9113200000</v>
      </c>
      <c r="D38" s="260"/>
      <c r="E38" s="262" t="s">
        <v>118</v>
      </c>
      <c r="F38" s="129" t="s">
        <v>138</v>
      </c>
      <c r="G38" s="262" t="s">
        <v>118</v>
      </c>
      <c r="H38" s="261" t="s">
        <v>120</v>
      </c>
      <c r="I38" s="260" t="s">
        <v>133</v>
      </c>
    </row>
    <row r="39" spans="1:9">
      <c r="A39" s="260">
        <v>30</v>
      </c>
      <c r="B39" s="261" t="s">
        <v>137</v>
      </c>
      <c r="C39" s="260">
        <v>9113200000</v>
      </c>
      <c r="D39" s="260"/>
      <c r="E39" s="262" t="s">
        <v>118</v>
      </c>
      <c r="F39" s="129" t="s">
        <v>138</v>
      </c>
      <c r="G39" s="262" t="s">
        <v>118</v>
      </c>
      <c r="H39" s="261" t="s">
        <v>120</v>
      </c>
      <c r="I39" s="260" t="s">
        <v>133</v>
      </c>
    </row>
    <row r="40" spans="1:9">
      <c r="A40" s="260">
        <v>31</v>
      </c>
      <c r="B40" s="261" t="s">
        <v>137</v>
      </c>
      <c r="C40" s="260">
        <v>9113200000</v>
      </c>
      <c r="D40" s="260"/>
      <c r="E40" s="262" t="s">
        <v>118</v>
      </c>
      <c r="F40" s="129" t="s">
        <v>138</v>
      </c>
      <c r="G40" s="262" t="s">
        <v>118</v>
      </c>
      <c r="H40" s="261" t="s">
        <v>120</v>
      </c>
      <c r="I40" s="260" t="s">
        <v>133</v>
      </c>
    </row>
    <row r="41" spans="1:9">
      <c r="A41" s="260">
        <v>32</v>
      </c>
      <c r="B41" s="261" t="s">
        <v>137</v>
      </c>
      <c r="C41" s="260">
        <v>9113200000</v>
      </c>
      <c r="D41" s="260"/>
      <c r="E41" s="262" t="s">
        <v>118</v>
      </c>
      <c r="F41" s="129" t="s">
        <v>138</v>
      </c>
      <c r="G41" s="262" t="s">
        <v>118</v>
      </c>
      <c r="H41" s="261" t="s">
        <v>120</v>
      </c>
      <c r="I41" s="260" t="s">
        <v>133</v>
      </c>
    </row>
    <row r="42" spans="1:9">
      <c r="A42" s="260">
        <v>33</v>
      </c>
      <c r="B42" s="261" t="s">
        <v>137</v>
      </c>
      <c r="C42" s="260">
        <v>9113200000</v>
      </c>
      <c r="D42" s="260"/>
      <c r="E42" s="262" t="s">
        <v>118</v>
      </c>
      <c r="F42" s="129" t="s">
        <v>138</v>
      </c>
      <c r="G42" s="262" t="s">
        <v>118</v>
      </c>
      <c r="H42" s="261" t="s">
        <v>120</v>
      </c>
      <c r="I42" s="260" t="s">
        <v>133</v>
      </c>
    </row>
    <row r="43" spans="1:9">
      <c r="A43" s="260">
        <v>34</v>
      </c>
      <c r="B43" s="261" t="s">
        <v>137</v>
      </c>
      <c r="C43" s="260">
        <v>9113200000</v>
      </c>
      <c r="D43" s="260"/>
      <c r="E43" s="262" t="s">
        <v>118</v>
      </c>
      <c r="F43" s="129" t="s">
        <v>138</v>
      </c>
      <c r="G43" s="262" t="s">
        <v>118</v>
      </c>
      <c r="H43" s="261" t="s">
        <v>120</v>
      </c>
      <c r="I43" s="260" t="s">
        <v>133</v>
      </c>
    </row>
    <row r="44" spans="1:9">
      <c r="A44" s="260">
        <v>35</v>
      </c>
      <c r="B44" s="261" t="s">
        <v>137</v>
      </c>
      <c r="C44" s="260">
        <v>9113200000</v>
      </c>
      <c r="D44" s="260"/>
      <c r="E44" s="262" t="s">
        <v>118</v>
      </c>
      <c r="F44" s="129" t="s">
        <v>138</v>
      </c>
      <c r="G44" s="262" t="s">
        <v>118</v>
      </c>
      <c r="H44" s="261" t="s">
        <v>120</v>
      </c>
      <c r="I44" s="260" t="s">
        <v>133</v>
      </c>
    </row>
    <row r="45" spans="1:9">
      <c r="A45" s="260">
        <v>36</v>
      </c>
      <c r="B45" s="261" t="s">
        <v>137</v>
      </c>
      <c r="C45" s="260">
        <v>9113200000</v>
      </c>
      <c r="D45" s="260"/>
      <c r="E45" s="262" t="s">
        <v>118</v>
      </c>
      <c r="F45" s="129" t="s">
        <v>138</v>
      </c>
      <c r="G45" s="262" t="s">
        <v>118</v>
      </c>
      <c r="H45" s="261" t="s">
        <v>120</v>
      </c>
      <c r="I45" s="260" t="s">
        <v>133</v>
      </c>
    </row>
    <row r="46" spans="1:9">
      <c r="A46" s="260">
        <v>37</v>
      </c>
      <c r="B46" s="261" t="s">
        <v>137</v>
      </c>
      <c r="C46" s="260">
        <v>9113200000</v>
      </c>
      <c r="D46" s="260"/>
      <c r="E46" s="262" t="s">
        <v>118</v>
      </c>
      <c r="F46" s="129" t="s">
        <v>138</v>
      </c>
      <c r="G46" s="262" t="s">
        <v>118</v>
      </c>
      <c r="H46" s="261" t="s">
        <v>120</v>
      </c>
      <c r="I46" s="260" t="s">
        <v>133</v>
      </c>
    </row>
    <row r="47" spans="1:9">
      <c r="A47" s="260">
        <v>38</v>
      </c>
      <c r="B47" s="261" t="s">
        <v>137</v>
      </c>
      <c r="C47" s="260">
        <v>9113200000</v>
      </c>
      <c r="D47" s="260"/>
      <c r="E47" s="262" t="s">
        <v>118</v>
      </c>
      <c r="F47" s="129" t="s">
        <v>138</v>
      </c>
      <c r="G47" s="262" t="s">
        <v>118</v>
      </c>
      <c r="H47" s="261" t="s">
        <v>120</v>
      </c>
      <c r="I47" s="260" t="s">
        <v>133</v>
      </c>
    </row>
    <row r="48" spans="1:9">
      <c r="A48" s="260">
        <v>39</v>
      </c>
      <c r="B48" s="261" t="s">
        <v>137</v>
      </c>
      <c r="C48" s="260">
        <v>9113200000</v>
      </c>
      <c r="D48" s="260"/>
      <c r="E48" s="262" t="s">
        <v>118</v>
      </c>
      <c r="F48" s="129" t="s">
        <v>138</v>
      </c>
      <c r="G48" s="262" t="s">
        <v>118</v>
      </c>
      <c r="H48" s="261" t="s">
        <v>120</v>
      </c>
      <c r="I48" s="260" t="s">
        <v>133</v>
      </c>
    </row>
    <row r="49" spans="1:9">
      <c r="A49" s="260">
        <v>40</v>
      </c>
      <c r="B49" s="261" t="s">
        <v>137</v>
      </c>
      <c r="C49" s="260">
        <v>9113200000</v>
      </c>
      <c r="D49" s="260"/>
      <c r="E49" s="262" t="s">
        <v>118</v>
      </c>
      <c r="F49" s="129" t="s">
        <v>138</v>
      </c>
      <c r="G49" s="262" t="s">
        <v>118</v>
      </c>
      <c r="H49" s="261" t="s">
        <v>120</v>
      </c>
      <c r="I49" s="260" t="s">
        <v>133</v>
      </c>
    </row>
    <row r="50" spans="1:9">
      <c r="A50" s="260">
        <v>41</v>
      </c>
      <c r="B50" s="261" t="s">
        <v>137</v>
      </c>
      <c r="C50" s="260">
        <v>9113200000</v>
      </c>
      <c r="D50" s="260"/>
      <c r="E50" s="262" t="s">
        <v>118</v>
      </c>
      <c r="F50" s="129" t="s">
        <v>138</v>
      </c>
      <c r="G50" s="262" t="s">
        <v>118</v>
      </c>
      <c r="H50" s="261" t="s">
        <v>120</v>
      </c>
      <c r="I50" s="260" t="s">
        <v>133</v>
      </c>
    </row>
    <row r="51" spans="1:9">
      <c r="A51" s="260">
        <v>42</v>
      </c>
      <c r="B51" s="261" t="s">
        <v>137</v>
      </c>
      <c r="C51" s="260">
        <v>9113200000</v>
      </c>
      <c r="D51" s="260"/>
      <c r="E51" s="262" t="s">
        <v>118</v>
      </c>
      <c r="F51" s="129" t="s">
        <v>138</v>
      </c>
      <c r="G51" s="262" t="s">
        <v>118</v>
      </c>
      <c r="H51" s="261" t="s">
        <v>120</v>
      </c>
      <c r="I51" s="260" t="s">
        <v>133</v>
      </c>
    </row>
    <row r="52" spans="1:9">
      <c r="A52" s="260">
        <v>43</v>
      </c>
      <c r="B52" s="261" t="s">
        <v>137</v>
      </c>
      <c r="C52" s="260">
        <v>9113200000</v>
      </c>
      <c r="D52" s="260"/>
      <c r="E52" s="262" t="s">
        <v>118</v>
      </c>
      <c r="F52" s="129" t="s">
        <v>138</v>
      </c>
      <c r="G52" s="262" t="s">
        <v>118</v>
      </c>
      <c r="H52" s="261" t="s">
        <v>120</v>
      </c>
      <c r="I52" s="260" t="s">
        <v>133</v>
      </c>
    </row>
    <row r="53" spans="1:9">
      <c r="A53" s="260">
        <v>44</v>
      </c>
      <c r="B53" s="261" t="s">
        <v>137</v>
      </c>
      <c r="C53" s="260">
        <v>9113200000</v>
      </c>
      <c r="D53" s="260"/>
      <c r="E53" s="262" t="s">
        <v>118</v>
      </c>
      <c r="F53" s="129" t="s">
        <v>138</v>
      </c>
      <c r="G53" s="262" t="s">
        <v>118</v>
      </c>
      <c r="H53" s="261" t="s">
        <v>120</v>
      </c>
      <c r="I53" s="260" t="s">
        <v>133</v>
      </c>
    </row>
    <row r="54" spans="1:9">
      <c r="A54" s="260">
        <v>45</v>
      </c>
      <c r="B54" s="261" t="s">
        <v>137</v>
      </c>
      <c r="C54" s="260">
        <v>9113200000</v>
      </c>
      <c r="D54" s="260"/>
      <c r="E54" s="262" t="s">
        <v>118</v>
      </c>
      <c r="F54" s="129" t="s">
        <v>138</v>
      </c>
      <c r="G54" s="262" t="s">
        <v>118</v>
      </c>
      <c r="H54" s="261" t="s">
        <v>120</v>
      </c>
      <c r="I54" s="260" t="s">
        <v>133</v>
      </c>
    </row>
    <row r="55" spans="1:9">
      <c r="A55" s="260">
        <v>46</v>
      </c>
      <c r="B55" s="261" t="s">
        <v>137</v>
      </c>
      <c r="C55" s="260">
        <v>9113200000</v>
      </c>
      <c r="D55" s="260"/>
      <c r="E55" s="262" t="s">
        <v>118</v>
      </c>
      <c r="F55" s="129" t="s">
        <v>138</v>
      </c>
      <c r="G55" s="262" t="s">
        <v>118</v>
      </c>
      <c r="H55" s="261" t="s">
        <v>120</v>
      </c>
      <c r="I55" s="260" t="s">
        <v>133</v>
      </c>
    </row>
    <row r="56" spans="1:9">
      <c r="A56" s="260">
        <v>47</v>
      </c>
      <c r="B56" s="261" t="s">
        <v>137</v>
      </c>
      <c r="C56" s="260">
        <v>9113200000</v>
      </c>
      <c r="D56" s="260"/>
      <c r="E56" s="262" t="s">
        <v>118</v>
      </c>
      <c r="F56" s="129" t="s">
        <v>138</v>
      </c>
      <c r="G56" s="262" t="s">
        <v>118</v>
      </c>
      <c r="H56" s="261" t="s">
        <v>120</v>
      </c>
      <c r="I56" s="260" t="s">
        <v>133</v>
      </c>
    </row>
    <row r="57" spans="1:9">
      <c r="A57" s="260">
        <v>48</v>
      </c>
      <c r="B57" s="261" t="s">
        <v>137</v>
      </c>
      <c r="C57" s="260">
        <v>9113200000</v>
      </c>
      <c r="D57" s="260"/>
      <c r="E57" s="262" t="s">
        <v>118</v>
      </c>
      <c r="F57" s="129" t="s">
        <v>138</v>
      </c>
      <c r="G57" s="262" t="s">
        <v>118</v>
      </c>
      <c r="H57" s="261" t="s">
        <v>120</v>
      </c>
      <c r="I57" s="260" t="s">
        <v>133</v>
      </c>
    </row>
    <row r="58" spans="1:9">
      <c r="A58" s="260">
        <v>49</v>
      </c>
      <c r="B58" s="261" t="s">
        <v>137</v>
      </c>
      <c r="C58" s="260">
        <v>9113200000</v>
      </c>
      <c r="D58" s="260"/>
      <c r="E58" s="262" t="s">
        <v>118</v>
      </c>
      <c r="F58" s="129" t="s">
        <v>138</v>
      </c>
      <c r="G58" s="262" t="s">
        <v>118</v>
      </c>
      <c r="H58" s="261" t="s">
        <v>120</v>
      </c>
      <c r="I58" s="260" t="s">
        <v>133</v>
      </c>
    </row>
    <row r="59" spans="1:9">
      <c r="A59" s="260">
        <v>50</v>
      </c>
      <c r="B59" s="261" t="s">
        <v>137</v>
      </c>
      <c r="C59" s="260">
        <v>9113200000</v>
      </c>
      <c r="D59" s="260"/>
      <c r="E59" s="262" t="s">
        <v>118</v>
      </c>
      <c r="F59" s="129" t="s">
        <v>138</v>
      </c>
      <c r="G59" s="262" t="s">
        <v>118</v>
      </c>
      <c r="H59" s="261" t="s">
        <v>120</v>
      </c>
      <c r="I59" s="260" t="s">
        <v>133</v>
      </c>
    </row>
  </sheetData>
  <autoFilter xmlns:etc="http://www.wps.cn/officeDocument/2017/etCustomData" ref="A9:I59" etc:filterBottomFollowUsedRange="0">
    <extLst/>
  </autoFilter>
  <mergeCells count="1">
    <mergeCell ref="A8:I8"/>
  </mergeCells>
  <hyperlinks>
    <hyperlink ref="B4" r:id="rId2"/>
    <hyperlink ref="C5" r:id="rId3" display="http://www.hscode.net/IntegrateQueries/QueryYS/"/>
    <hyperlink ref="C4" r:id="rId2" display="https://e-service.shciq.gov.cn/shesp/"/>
  </hyperlinks>
  <pageMargins left="0.39" right="0.39" top="0.43" bottom="1" header="0.24" footer="0.51"/>
  <pageSetup paperSize="9" scale="59" orientation="landscape" horizontalDpi="600" verticalDpi="6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1"/>
  <sheetViews>
    <sheetView workbookViewId="0">
      <selection activeCell="B37" sqref="B37"/>
    </sheetView>
  </sheetViews>
  <sheetFormatPr defaultColWidth="9" defaultRowHeight="14.25" outlineLevelCol="6"/>
  <cols>
    <col min="1" max="1" width="22.125" style="241" customWidth="1"/>
    <col min="2" max="2" width="179.25" style="241" customWidth="1"/>
    <col min="3" max="16384" width="9" style="241"/>
  </cols>
  <sheetData>
    <row r="1" spans="1:2">
      <c r="A1" s="241" t="s">
        <v>139</v>
      </c>
      <c r="B1" s="241" t="s">
        <v>140</v>
      </c>
    </row>
    <row r="3" spans="1:2">
      <c r="A3" s="241" t="s">
        <v>141</v>
      </c>
      <c r="B3" s="241" t="s">
        <v>142</v>
      </c>
    </row>
    <row r="5" spans="1:2">
      <c r="A5" s="242" t="s">
        <v>143</v>
      </c>
      <c r="B5" s="241" t="s">
        <v>144</v>
      </c>
    </row>
    <row r="7" spans="1:2">
      <c r="A7" s="241" t="s">
        <v>9</v>
      </c>
      <c r="B7" s="241" t="s">
        <v>145</v>
      </c>
    </row>
    <row r="9" spans="1:2">
      <c r="A9" s="242" t="s">
        <v>146</v>
      </c>
      <c r="B9" s="242" t="s">
        <v>147</v>
      </c>
    </row>
    <row r="11" spans="1:2">
      <c r="A11" s="242" t="s">
        <v>148</v>
      </c>
      <c r="B11" s="243" t="s">
        <v>149</v>
      </c>
    </row>
    <row r="13" spans="1:2">
      <c r="A13" s="241" t="s">
        <v>150</v>
      </c>
      <c r="B13" s="241" t="s">
        <v>151</v>
      </c>
    </row>
    <row r="15" spans="1:2">
      <c r="A15" s="241" t="s">
        <v>152</v>
      </c>
      <c r="B15" s="241" t="s">
        <v>153</v>
      </c>
    </row>
    <row r="17" spans="1:7">
      <c r="A17" s="241" t="s">
        <v>31</v>
      </c>
      <c r="B17" s="241" t="s">
        <v>154</v>
      </c>
    </row>
    <row r="19" spans="1:7">
      <c r="A19" s="243" t="s">
        <v>155</v>
      </c>
      <c r="B19" s="243" t="s">
        <v>156</v>
      </c>
    </row>
    <row r="20" spans="1:7">
      <c r="B20" s="1"/>
      <c r="C20" s="1"/>
    </row>
    <row r="21" spans="1:7">
      <c r="A21" s="241" t="s">
        <v>37</v>
      </c>
      <c r="B21" s="1" t="s">
        <v>157</v>
      </c>
      <c r="C21" s="1"/>
    </row>
    <row r="23" spans="1:7">
      <c r="A23" s="244" t="s">
        <v>38</v>
      </c>
      <c r="B23" s="243" t="s">
        <v>158</v>
      </c>
    </row>
    <row r="25" spans="1:7">
      <c r="A25" s="241" t="s">
        <v>159</v>
      </c>
      <c r="B25" s="241" t="s">
        <v>160</v>
      </c>
    </row>
    <row r="27" spans="1:7">
      <c r="A27" s="241" t="s">
        <v>161</v>
      </c>
      <c r="B27" s="241" t="s">
        <v>162</v>
      </c>
    </row>
    <row r="29" spans="1:7">
      <c r="A29" s="242" t="s">
        <v>163</v>
      </c>
      <c r="B29" s="243" t="s">
        <v>164</v>
      </c>
      <c r="G29" s="1"/>
    </row>
    <row r="31" spans="1:7">
      <c r="A31" s="241" t="s">
        <v>165</v>
      </c>
      <c r="B31" s="243" t="s">
        <v>166</v>
      </c>
    </row>
    <row r="33" spans="1:2">
      <c r="A33" s="241" t="s">
        <v>167</v>
      </c>
      <c r="B33" s="241" t="s">
        <v>168</v>
      </c>
    </row>
    <row r="35" spans="1:2">
      <c r="A35" s="241" t="s">
        <v>169</v>
      </c>
      <c r="B35" s="241" t="s">
        <v>170</v>
      </c>
    </row>
    <row r="37" spans="1:2">
      <c r="A37" s="241" t="s">
        <v>49</v>
      </c>
      <c r="B37" s="241" t="s">
        <v>171</v>
      </c>
    </row>
    <row r="39" spans="1:2">
      <c r="A39" s="241" t="s">
        <v>51</v>
      </c>
      <c r="B39" s="241" t="s">
        <v>172</v>
      </c>
    </row>
    <row r="41" spans="1:2">
      <c r="A41" s="241" t="s">
        <v>52</v>
      </c>
      <c r="B41" s="241" t="s">
        <v>173</v>
      </c>
    </row>
    <row r="43" spans="1:2">
      <c r="A43" s="241" t="s">
        <v>53</v>
      </c>
      <c r="B43" s="241" t="s">
        <v>174</v>
      </c>
    </row>
    <row r="45" spans="1:2">
      <c r="A45" s="241" t="s">
        <v>54</v>
      </c>
      <c r="B45" s="241" t="s">
        <v>175</v>
      </c>
    </row>
    <row r="47" spans="1:2">
      <c r="A47" s="241" t="s">
        <v>56</v>
      </c>
      <c r="B47" s="241" t="s">
        <v>176</v>
      </c>
    </row>
    <row r="49" spans="1:2">
      <c r="A49" s="241" t="s">
        <v>57</v>
      </c>
      <c r="B49" s="241" t="s">
        <v>177</v>
      </c>
    </row>
    <row r="51" spans="1:2">
      <c r="A51" s="241" t="s">
        <v>58</v>
      </c>
      <c r="B51" s="241" t="s">
        <v>178</v>
      </c>
    </row>
    <row r="53" spans="1:2">
      <c r="A53" s="241" t="s">
        <v>64</v>
      </c>
      <c r="B53" s="241" t="s">
        <v>179</v>
      </c>
    </row>
    <row r="55" spans="1:2">
      <c r="A55" s="241" t="s">
        <v>180</v>
      </c>
      <c r="B55" s="241" t="s">
        <v>181</v>
      </c>
    </row>
    <row r="57" spans="1:2">
      <c r="A57" s="241" t="s">
        <v>86</v>
      </c>
      <c r="B57" s="241" t="s">
        <v>182</v>
      </c>
    </row>
    <row r="59" spans="1:2">
      <c r="A59" s="242" t="s">
        <v>87</v>
      </c>
      <c r="B59" s="242" t="s">
        <v>183</v>
      </c>
    </row>
    <row r="61" spans="1:2">
      <c r="A61" s="241" t="s">
        <v>88</v>
      </c>
      <c r="B61" s="241" t="s">
        <v>184</v>
      </c>
    </row>
    <row r="63" spans="1:2">
      <c r="A63" s="244" t="s">
        <v>114</v>
      </c>
      <c r="B63" s="241" t="s">
        <v>185</v>
      </c>
    </row>
    <row r="65" spans="1:2">
      <c r="A65" s="244" t="s">
        <v>115</v>
      </c>
      <c r="B65" s="241" t="s">
        <v>186</v>
      </c>
    </row>
    <row r="67" spans="1:2">
      <c r="A67" s="241" t="s">
        <v>89</v>
      </c>
      <c r="B67" s="243" t="s">
        <v>187</v>
      </c>
    </row>
    <row r="69" spans="1:2">
      <c r="A69" s="241" t="s">
        <v>188</v>
      </c>
      <c r="B69" s="243" t="s">
        <v>189</v>
      </c>
    </row>
    <row r="71" spans="1:2">
      <c r="A71" s="241" t="s">
        <v>190</v>
      </c>
      <c r="B71" s="243" t="s">
        <v>191</v>
      </c>
    </row>
    <row r="73" spans="1:2">
      <c r="A73" s="241" t="s">
        <v>192</v>
      </c>
      <c r="B73" s="241" t="s">
        <v>193</v>
      </c>
    </row>
    <row r="75" spans="1:2">
      <c r="A75" s="241" t="s">
        <v>91</v>
      </c>
      <c r="B75" s="241" t="s">
        <v>194</v>
      </c>
    </row>
    <row r="77" spans="1:2">
      <c r="A77" s="241" t="s">
        <v>92</v>
      </c>
      <c r="B77" s="243" t="s">
        <v>195</v>
      </c>
    </row>
    <row r="79" spans="1:2">
      <c r="A79" s="241" t="s">
        <v>196</v>
      </c>
      <c r="B79" s="241" t="s">
        <v>197</v>
      </c>
    </row>
    <row r="81" spans="1:2">
      <c r="A81" s="241" t="s">
        <v>198</v>
      </c>
      <c r="B81" s="243" t="s">
        <v>199</v>
      </c>
    </row>
    <row r="83" spans="1:2">
      <c r="A83" s="241" t="s">
        <v>94</v>
      </c>
      <c r="B83" s="241" t="s">
        <v>200</v>
      </c>
    </row>
    <row r="85" spans="1:2">
      <c r="A85" s="244" t="s">
        <v>201</v>
      </c>
      <c r="B85" s="242" t="s">
        <v>202</v>
      </c>
    </row>
    <row r="86" spans="1:2">
      <c r="A86" s="244"/>
    </row>
    <row r="87" spans="1:2">
      <c r="A87" s="244" t="s">
        <v>203</v>
      </c>
      <c r="B87" s="242" t="s">
        <v>204</v>
      </c>
    </row>
    <row r="88" spans="1:2">
      <c r="A88" s="244"/>
    </row>
    <row r="89" spans="1:2">
      <c r="A89" s="244" t="s">
        <v>205</v>
      </c>
      <c r="B89" s="242" t="s">
        <v>206</v>
      </c>
    </row>
    <row r="90" spans="1:2">
      <c r="A90" s="242"/>
    </row>
    <row r="91" spans="1:2">
      <c r="A91" s="242" t="s">
        <v>207</v>
      </c>
      <c r="B91" s="241" t="s">
        <v>208</v>
      </c>
    </row>
  </sheetData>
  <pageMargins left="0.75" right="0.75" top="1" bottom="1" header="0.51" footer="0.5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8"/>
  <sheetViews>
    <sheetView showZeros="0" view="pageBreakPreview" zoomScaleNormal="100" topLeftCell="A42" workbookViewId="0">
      <selection activeCell="C3" sqref="C3:E3"/>
    </sheetView>
  </sheetViews>
  <sheetFormatPr defaultColWidth="9" defaultRowHeight="14.25"/>
  <cols>
    <col min="1" max="1" width="3.75" style="1" customWidth="1"/>
    <col min="2" max="2" width="12.375" style="1" customWidth="1"/>
    <col min="3" max="3" width="30.75" style="1" customWidth="1"/>
    <col min="4" max="4" width="11.5" style="1" customWidth="1"/>
    <col min="5" max="5" width="8.875" style="1" customWidth="1"/>
    <col min="6" max="6" width="4.25" style="1" customWidth="1"/>
    <col min="7" max="7" width="12.25" style="1" customWidth="1"/>
    <col min="8" max="8" width="4.5" style="1" customWidth="1"/>
    <col min="9" max="9" width="13" style="1" customWidth="1"/>
    <col min="10" max="10" width="0.625" style="1" hidden="1" customWidth="1"/>
    <col min="11" max="14" width="9" style="1"/>
    <col min="15" max="15" width="12.625" style="1"/>
    <col min="16" max="16384" width="9" style="1"/>
  </cols>
  <sheetData>
    <row r="1" ht="72" customHeight="1" spans="1:10">
      <c r="A1" s="69" t="s">
        <v>209</v>
      </c>
      <c r="B1" s="69"/>
      <c r="C1" s="69"/>
      <c r="D1" s="69"/>
      <c r="E1" s="69"/>
      <c r="F1" s="69"/>
      <c r="G1" s="69"/>
      <c r="H1" s="69"/>
      <c r="I1" s="69"/>
    </row>
    <row r="2" ht="26.1" customHeight="1" spans="1:10">
      <c r="A2" s="70"/>
      <c r="B2" s="70"/>
      <c r="C2" s="70"/>
      <c r="D2" s="70"/>
      <c r="E2" s="70"/>
      <c r="F2" s="70"/>
      <c r="G2" s="72" t="s">
        <v>210</v>
      </c>
      <c r="H2" s="209">
        <f>报关单!A10</f>
        <v>2026011202</v>
      </c>
      <c r="I2" s="209"/>
    </row>
    <row r="3" ht="33.95" customHeight="1" spans="1:10">
      <c r="A3" s="170" t="s">
        <v>211</v>
      </c>
      <c r="B3" s="170"/>
      <c r="C3" s="177" t="str">
        <f>报关单!A6</f>
        <v>HONG KONG YUN QI LIAN TECHNOLOGY LIMITED</v>
      </c>
      <c r="D3" s="177"/>
      <c r="E3" s="177"/>
      <c r="F3" s="157"/>
      <c r="G3" s="210" t="s">
        <v>212</v>
      </c>
      <c r="H3" s="211">
        <f ca="1">TODAY()</f>
        <v>46155</v>
      </c>
      <c r="I3" s="177"/>
    </row>
    <row r="4" ht="15.75" customHeight="1" spans="1:10">
      <c r="A4" s="212"/>
      <c r="B4" s="213"/>
      <c r="C4" s="152"/>
      <c r="D4" s="152"/>
      <c r="E4" s="152"/>
      <c r="F4" s="157"/>
      <c r="G4" s="152"/>
      <c r="H4" s="152"/>
      <c r="I4" s="152"/>
    </row>
    <row r="5" ht="6" customHeight="1" spans="1:10">
      <c r="A5" s="157"/>
      <c r="B5" s="152"/>
      <c r="C5" s="152"/>
      <c r="D5" s="157"/>
      <c r="E5" s="157"/>
      <c r="F5" s="157"/>
      <c r="G5" s="157"/>
      <c r="H5" s="157"/>
      <c r="I5" s="157"/>
    </row>
    <row r="6" ht="18" customHeight="1" spans="1:10">
      <c r="A6" s="157"/>
      <c r="B6" s="152"/>
      <c r="C6" s="152"/>
      <c r="D6" s="157"/>
      <c r="E6" s="157"/>
      <c r="F6" s="157"/>
      <c r="G6" s="159" t="s">
        <v>213</v>
      </c>
      <c r="H6" s="157" t="str">
        <f>报关单!V4</f>
        <v>FOB</v>
      </c>
      <c r="I6" s="157" t="str">
        <f>报关单!W4</f>
        <v>SHENZHEN</v>
      </c>
    </row>
    <row r="7" ht="30" customHeight="1" spans="1:10">
      <c r="A7" s="189" t="s">
        <v>214</v>
      </c>
      <c r="B7" s="214"/>
      <c r="C7" s="189" t="s">
        <v>215</v>
      </c>
      <c r="D7" s="189" t="s">
        <v>216</v>
      </c>
      <c r="E7" s="189" t="s">
        <v>217</v>
      </c>
      <c r="F7" s="189"/>
      <c r="G7" s="189" t="s">
        <v>218</v>
      </c>
      <c r="H7" s="189" t="s">
        <v>219</v>
      </c>
      <c r="I7" s="189"/>
    </row>
    <row r="8" ht="30" customHeight="1" spans="1:10">
      <c r="A8" s="215"/>
      <c r="B8" s="216"/>
      <c r="C8" s="217" t="str">
        <f ca="1">OFFSET(报关单!$D$1,ROW(报关单!D1)*3+16,0)</f>
        <v>编织表带</v>
      </c>
      <c r="D8" s="217" t="str">
        <f ca="1">OFFSET(报关单!$D$1,ROW(报关单!E1)*3+17,0)</f>
        <v>BG-20-01</v>
      </c>
      <c r="E8" s="217">
        <f ca="1">OFFSET(报关单!$G$1,ROW(报关单!G1)*3+18,0)</f>
        <v>240</v>
      </c>
      <c r="F8" s="218" t="str">
        <f ca="1">OFFSET(报关单!$H$1,ROW(报关单!H1)*3+18,0)</f>
        <v>条</v>
      </c>
      <c r="G8" s="219">
        <f ca="1">IFERROR(I8/E8,0)</f>
        <v>12</v>
      </c>
      <c r="H8" s="220" t="str">
        <f ca="1">OFFSET(报关单!$I$1,ROW(报关单!I1)*3+18,0)</f>
        <v>人民币</v>
      </c>
      <c r="I8" s="219">
        <f ca="1">OFFSET(报关单!$I$1,ROW(报关单!I1)*3+17,0)</f>
        <v>2880</v>
      </c>
      <c r="J8" s="221"/>
    </row>
    <row r="9" ht="30" customHeight="1" spans="1:10">
      <c r="A9" s="215"/>
      <c r="B9" s="216"/>
      <c r="C9" s="217" t="str">
        <f ca="1">OFFSET(报关单!$D$1,ROW(报关单!D2)*3+16,0)</f>
        <v>编织表带</v>
      </c>
      <c r="D9" s="217" t="str">
        <f ca="1">OFFSET(报关单!$D$1,ROW(报关单!E2)*3+17,0)</f>
        <v>BSX1-22-01</v>
      </c>
      <c r="E9" s="217">
        <f ca="1">OFFSET(报关单!$G$1,ROW(报关单!G2)*3+18,0)</f>
        <v>60</v>
      </c>
      <c r="F9" s="218" t="str">
        <f ca="1">OFFSET(报关单!$H$1,ROW(报关单!H2)*3+18,0)</f>
        <v>条</v>
      </c>
      <c r="G9" s="219">
        <f ca="1" t="shared" ref="G9:G38" si="0">IFERROR(I9/E9,0)</f>
        <v>18</v>
      </c>
      <c r="H9" s="220" t="str">
        <f ca="1">OFFSET(报关单!$I$1,ROW(报关单!I2)*3+18,0)</f>
        <v>人民币</v>
      </c>
      <c r="I9" s="219">
        <f ca="1">OFFSET(报关单!$I$1,ROW(报关单!I2)*3+17,0)</f>
        <v>1080</v>
      </c>
    </row>
    <row r="10" ht="30" customHeight="1" spans="1:10">
      <c r="A10" s="215"/>
      <c r="B10" s="216"/>
      <c r="C10" s="217" t="str">
        <f ca="1">OFFSET(报关单!$D$1,ROW(报关单!D3)*3+16,0)</f>
        <v>编织表带</v>
      </c>
      <c r="D10" s="217" t="str">
        <f ca="1">OFFSET(报关单!$D$1,ROW(报关单!E3)*3+17,0)</f>
        <v>PG1-45-01</v>
      </c>
      <c r="E10" s="217">
        <f ca="1">OFFSET(报关单!$G$1,ROW(报关单!G3)*3+18,0)</f>
        <v>155</v>
      </c>
      <c r="F10" s="218" t="str">
        <f ca="1">OFFSET(报关单!$H$1,ROW(报关单!H3)*3+18,0)</f>
        <v>条</v>
      </c>
      <c r="G10" s="219">
        <f ca="1" t="shared" si="0"/>
        <v>14</v>
      </c>
      <c r="H10" s="220" t="str">
        <f ca="1">OFFSET(报关单!$I$1,ROW(报关单!I3)*3+18,0)</f>
        <v>人民币</v>
      </c>
      <c r="I10" s="219">
        <f ca="1">OFFSET(报关单!$I$1,ROW(报关单!I3)*3+17,0)</f>
        <v>2170</v>
      </c>
    </row>
    <row r="11" ht="30" customHeight="1" spans="1:10">
      <c r="A11" s="215"/>
      <c r="B11" s="216"/>
      <c r="C11" s="217" t="str">
        <f ca="1">OFFSET(报关单!$D$1,ROW(报关单!D4)*3+16,0)</f>
        <v>编织表带</v>
      </c>
      <c r="D11" s="217" t="str">
        <f ca="1">OFFSET(报关单!$D$1,ROW(报关单!E4)*3+17,0)</f>
        <v>QB-16</v>
      </c>
      <c r="E11" s="217">
        <f ca="1">OFFSET(报关单!$G$1,ROW(报关单!G4)*3+18,0)</f>
        <v>310</v>
      </c>
      <c r="F11" s="218" t="str">
        <f ca="1">OFFSET(报关单!$H$1,ROW(报关单!H4)*3+18,0)</f>
        <v>条</v>
      </c>
      <c r="G11" s="219">
        <f ca="1" t="shared" si="0"/>
        <v>15</v>
      </c>
      <c r="H11" s="220" t="str">
        <f ca="1">OFFSET(报关单!$I$1,ROW(报关单!I4)*3+18,0)</f>
        <v>人民币</v>
      </c>
      <c r="I11" s="219">
        <f ca="1">OFFSET(报关单!$I$1,ROW(报关单!I4)*3+17,0)</f>
        <v>4650</v>
      </c>
    </row>
    <row r="12" ht="30" customHeight="1" spans="1:10">
      <c r="A12" s="215"/>
      <c r="B12" s="216"/>
      <c r="C12" s="217" t="str">
        <f ca="1">OFFSET(报关单!$D$1,ROW(报关单!D5)*3+16,0)</f>
        <v>编织表带</v>
      </c>
      <c r="D12" s="217" t="str">
        <f ca="1">OFFSET(报关单!$D$1,ROW(报关单!E5)*3+17,0)</f>
        <v>SX1-22-01</v>
      </c>
      <c r="E12" s="217">
        <f ca="1">OFFSET(报关单!$G$1,ROW(报关单!G5)*3+18,0)</f>
        <v>190</v>
      </c>
      <c r="F12" s="218" t="str">
        <f ca="1">OFFSET(报关单!$H$1,ROW(报关单!H5)*3+18,0)</f>
        <v>条</v>
      </c>
      <c r="G12" s="219">
        <f ca="1" t="shared" si="0"/>
        <v>18</v>
      </c>
      <c r="H12" s="220" t="str">
        <f ca="1">OFFSET(报关单!$I$1,ROW(报关单!I5)*3+18,0)</f>
        <v>人民币</v>
      </c>
      <c r="I12" s="219">
        <f ca="1">OFFSET(报关单!$I$1,ROW(报关单!I5)*3+17,0)</f>
        <v>3420</v>
      </c>
    </row>
    <row r="13" ht="30" customHeight="1" spans="1:10">
      <c r="A13" s="215"/>
      <c r="B13" s="216"/>
      <c r="C13" s="217" t="str">
        <f ca="1">OFFSET(报关单!$D$1,ROW(报关单!D6)*3+16,0)</f>
        <v>编织表带</v>
      </c>
      <c r="D13" s="217" t="str">
        <f ca="1">OFFSET(报关单!$D$1,ROW(报关单!E6)*3+17,0)</f>
        <v>SX2-22-01</v>
      </c>
      <c r="E13" s="217">
        <f ca="1">OFFSET(报关单!$G$1,ROW(报关单!G6)*3+18,0)</f>
        <v>105</v>
      </c>
      <c r="F13" s="218" t="str">
        <f ca="1">OFFSET(报关单!$H$1,ROW(报关单!H6)*3+18,0)</f>
        <v>条</v>
      </c>
      <c r="G13" s="219">
        <f ca="1" t="shared" si="0"/>
        <v>17</v>
      </c>
      <c r="H13" s="220" t="str">
        <f ca="1">OFFSET(报关单!$I$1,ROW(报关单!I6)*3+18,0)</f>
        <v>人民币</v>
      </c>
      <c r="I13" s="219">
        <f ca="1">OFFSET(报关单!$I$1,ROW(报关单!I6)*3+17,0)</f>
        <v>1785</v>
      </c>
    </row>
    <row r="14" ht="30" customHeight="1" spans="1:10">
      <c r="A14" s="215"/>
      <c r="B14" s="216"/>
      <c r="C14" s="217" t="str">
        <f ca="1">OFFSET(报关单!$D$1,ROW(报关单!D7)*3+16,0)</f>
        <v>编织表带</v>
      </c>
      <c r="D14" s="217" t="str">
        <f ca="1">OFFSET(报关单!$D$1,ROW(报关单!E7)*3+17,0)</f>
        <v>SX3-22-01</v>
      </c>
      <c r="E14" s="217">
        <f ca="1">OFFSET(报关单!$G$1,ROW(报关单!G7)*3+18,0)</f>
        <v>140</v>
      </c>
      <c r="F14" s="218" t="str">
        <f ca="1">OFFSET(报关单!$H$1,ROW(报关单!H7)*3+18,0)</f>
        <v>条</v>
      </c>
      <c r="G14" s="219">
        <f ca="1" t="shared" si="0"/>
        <v>18</v>
      </c>
      <c r="H14" s="220" t="str">
        <f ca="1">OFFSET(报关单!$I$1,ROW(报关单!I7)*3+18,0)</f>
        <v>人民币</v>
      </c>
      <c r="I14" s="219">
        <f ca="1">OFFSET(报关单!$I$1,ROW(报关单!I7)*3+17,0)</f>
        <v>2520</v>
      </c>
    </row>
    <row r="15" ht="30" customHeight="1" spans="1:10">
      <c r="A15" s="215"/>
      <c r="B15" s="216"/>
      <c r="C15" s="217" t="str">
        <f ca="1">OFFSET(报关单!$D$1,ROW(报关单!D8)*3+16,0)</f>
        <v>表带</v>
      </c>
      <c r="D15" s="217" t="str">
        <f ca="1">OFFSET(报关单!$D$1,ROW(报关单!E8)*3+17,0)</f>
        <v>XY140-L1</v>
      </c>
      <c r="E15" s="217">
        <f ca="1">OFFSET(报关单!$G$1,ROW(报关单!G8)*3+18,0)</f>
        <v>20</v>
      </c>
      <c r="F15" s="218" t="str">
        <f ca="1">OFFSET(报关单!$H$1,ROW(报关单!H8)*3+18,0)</f>
        <v>条</v>
      </c>
      <c r="G15" s="219">
        <f ca="1" t="shared" si="0"/>
        <v>6.5</v>
      </c>
      <c r="H15" s="220" t="str">
        <f ca="1">OFFSET(报关单!$I$1,ROW(报关单!I8)*3+18,0)</f>
        <v>人民币</v>
      </c>
      <c r="I15" s="219">
        <f ca="1">OFFSET(报关单!$I$1,ROW(报关单!I8)*3+17,0)</f>
        <v>130</v>
      </c>
    </row>
    <row r="16" ht="30" customHeight="1" spans="1:10">
      <c r="A16" s="215"/>
      <c r="B16" s="216"/>
      <c r="C16" s="217" t="str">
        <f ca="1">OFFSET(报关单!$D$1,ROW(报关单!D9)*3+16,0)</f>
        <v>表带</v>
      </c>
      <c r="D16" s="217" t="str">
        <f ca="1">OFFSET(报关单!$D$1,ROW(报关单!E9)*3+17,0)</f>
        <v>XY140-S1</v>
      </c>
      <c r="E16" s="217">
        <f ca="1">OFFSET(报关单!$G$1,ROW(报关单!G9)*3+18,0)</f>
        <v>60</v>
      </c>
      <c r="F16" s="218" t="str">
        <f ca="1">OFFSET(报关单!$H$1,ROW(报关单!H9)*3+18,0)</f>
        <v>条</v>
      </c>
      <c r="G16" s="219">
        <f ca="1" t="shared" si="0"/>
        <v>6.5</v>
      </c>
      <c r="H16" s="220" t="str">
        <f ca="1">OFFSET(报关单!$I$1,ROW(报关单!I9)*3+18,0)</f>
        <v>人民币</v>
      </c>
      <c r="I16" s="219">
        <f ca="1">OFFSET(报关单!$I$1,ROW(报关单!I9)*3+17,0)</f>
        <v>390</v>
      </c>
    </row>
    <row r="17" ht="30" customHeight="1" spans="1:9">
      <c r="A17" s="215"/>
      <c r="B17" s="216"/>
      <c r="C17" s="217" t="str">
        <f ca="1">OFFSET(报关单!$D$1,ROW(报关单!D10)*3+16,0)</f>
        <v>表带</v>
      </c>
      <c r="D17" s="217" t="str">
        <f ca="1">OFFSET(报关单!$D$1,ROW(报关单!E10)*3+17,0)</f>
        <v>XY37-1</v>
      </c>
      <c r="E17" s="217">
        <f ca="1">OFFSET(报关单!$G$1,ROW(报关单!G10)*3+18,0)</f>
        <v>15</v>
      </c>
      <c r="F17" s="218" t="str">
        <f ca="1">OFFSET(报关单!$H$1,ROW(报关单!H10)*3+18,0)</f>
        <v>条</v>
      </c>
      <c r="G17" s="219">
        <f ca="1" t="shared" si="0"/>
        <v>8</v>
      </c>
      <c r="H17" s="220" t="str">
        <f ca="1">OFFSET(报关单!$I$1,ROW(报关单!I10)*3+18,0)</f>
        <v>人民币</v>
      </c>
      <c r="I17" s="219">
        <f ca="1">OFFSET(报关单!$I$1,ROW(报关单!I10)*3+17,0)</f>
        <v>120</v>
      </c>
    </row>
    <row r="18" ht="30" customHeight="1" spans="1:9">
      <c r="A18" s="215"/>
      <c r="B18" s="216"/>
      <c r="C18" s="217" t="str">
        <f ca="1">OFFSET(报关单!$D$1,ROW(报关单!D11)*3+16,0)</f>
        <v>表带</v>
      </c>
      <c r="D18" s="217" t="str">
        <f ca="1">OFFSET(报关单!$D$1,ROW(报关单!E11)*3+17,0)</f>
        <v>XY37-3</v>
      </c>
      <c r="E18" s="217">
        <f ca="1">OFFSET(报关单!$G$1,ROW(报关单!G11)*3+18,0)</f>
        <v>15</v>
      </c>
      <c r="F18" s="218" t="str">
        <f ca="1">OFFSET(报关单!$H$1,ROW(报关单!H11)*3+18,0)</f>
        <v>条</v>
      </c>
      <c r="G18" s="219">
        <f ca="1" t="shared" si="0"/>
        <v>8</v>
      </c>
      <c r="H18" s="220" t="str">
        <f ca="1">OFFSET(报关单!$I$1,ROW(报关单!I11)*3+18,0)</f>
        <v>人民币</v>
      </c>
      <c r="I18" s="219">
        <f ca="1">OFFSET(报关单!$I$1,ROW(报关单!I11)*3+17,0)</f>
        <v>120</v>
      </c>
    </row>
    <row r="19" ht="30" customHeight="1" spans="1:9">
      <c r="A19" s="215"/>
      <c r="B19" s="216"/>
      <c r="C19" s="217" t="str">
        <f ca="1">OFFSET(报关单!$D$1,ROW(报关单!D12)*3+16,0)</f>
        <v>硅胶表带</v>
      </c>
      <c r="D19" s="217" t="str">
        <f ca="1">OFFSET(报关单!$D$1,ROW(报关单!E12)*3+17,0)</f>
        <v>ZF-3</v>
      </c>
      <c r="E19" s="217">
        <f ca="1">OFFSET(报关单!$G$1,ROW(报关单!G12)*3+18,0)</f>
        <v>100</v>
      </c>
      <c r="F19" s="218" t="str">
        <f ca="1">OFFSET(报关单!$H$1,ROW(报关单!H12)*3+18,0)</f>
        <v>条</v>
      </c>
      <c r="G19" s="219">
        <f ca="1" t="shared" si="0"/>
        <v>6</v>
      </c>
      <c r="H19" s="220" t="str">
        <f ca="1">OFFSET(报关单!$I$1,ROW(报关单!I12)*3+18,0)</f>
        <v>人民币</v>
      </c>
      <c r="I19" s="219">
        <f ca="1">OFFSET(报关单!$I$1,ROW(报关单!I12)*3+17,0)</f>
        <v>600</v>
      </c>
    </row>
    <row r="20" ht="30" customHeight="1" spans="1:9">
      <c r="A20" s="215"/>
      <c r="B20" s="216"/>
      <c r="C20" s="217" t="str">
        <f ca="1">OFFSET(报关单!$D$1,ROW(报关单!D13)*3+16,0)</f>
        <v>手表表带</v>
      </c>
      <c r="D20" s="217" t="str">
        <f ca="1">OFFSET(报关单!$D$1,ROW(报关单!E13)*3+17,0)</f>
        <v>ZY2-3</v>
      </c>
      <c r="E20" s="217">
        <f ca="1">OFFSET(报关单!$G$1,ROW(报关单!G13)*3+18,0)</f>
        <v>5</v>
      </c>
      <c r="F20" s="218" t="str">
        <f ca="1">OFFSET(报关单!$H$1,ROW(报关单!H13)*3+18,0)</f>
        <v>条</v>
      </c>
      <c r="G20" s="219">
        <f ca="1" t="shared" si="0"/>
        <v>32</v>
      </c>
      <c r="H20" s="220" t="str">
        <f ca="1">OFFSET(报关单!$I$1,ROW(报关单!I13)*3+18,0)</f>
        <v>人民币</v>
      </c>
      <c r="I20" s="219">
        <f ca="1">OFFSET(报关单!$I$1,ROW(报关单!I13)*3+17,0)</f>
        <v>160</v>
      </c>
    </row>
    <row r="21" ht="30" customHeight="1" spans="1:9">
      <c r="A21" s="215"/>
      <c r="B21" s="216"/>
      <c r="C21" s="217" t="str">
        <f ca="1">OFFSET(报关单!$D$1,ROW(报关单!D14)*3+16,0)</f>
        <v>手表表带</v>
      </c>
      <c r="D21" s="217" t="str">
        <f ca="1">OFFSET(报关单!$D$1,ROW(报关单!E14)*3+17,0)</f>
        <v>ZY2-3</v>
      </c>
      <c r="E21" s="217">
        <f ca="1">OFFSET(报关单!$G$1,ROW(报关单!G14)*3+18,0)</f>
        <v>5</v>
      </c>
      <c r="F21" s="218" t="str">
        <f ca="1">OFFSET(报关单!$H$1,ROW(报关单!H14)*3+18,0)</f>
        <v>条</v>
      </c>
      <c r="G21" s="219">
        <f ca="1" t="shared" si="0"/>
        <v>32</v>
      </c>
      <c r="H21" s="220" t="str">
        <f ca="1">OFFSET(报关单!$I$1,ROW(报关单!I14)*3+18,0)</f>
        <v>人民币</v>
      </c>
      <c r="I21" s="219">
        <f ca="1">OFFSET(报关单!$I$1,ROW(报关单!I14)*3+17,0)</f>
        <v>160</v>
      </c>
    </row>
    <row r="22" ht="30" customHeight="1" spans="1:9">
      <c r="A22" s="215"/>
      <c r="B22" s="216"/>
      <c r="C22" s="217" t="str">
        <f ca="1">OFFSET(报关单!$D$1,ROW(报关单!D15)*3+16,0)</f>
        <v>手表表带</v>
      </c>
      <c r="D22" s="217" t="str">
        <f ca="1">OFFSET(报关单!$D$1,ROW(报关单!E15)*3+17,0)</f>
        <v>ZY2-3</v>
      </c>
      <c r="E22" s="217">
        <f ca="1">OFFSET(报关单!$G$1,ROW(报关单!G15)*3+18,0)</f>
        <v>5</v>
      </c>
      <c r="F22" s="218" t="str">
        <f ca="1">OFFSET(报关单!$H$1,ROW(报关单!H15)*3+18,0)</f>
        <v>条</v>
      </c>
      <c r="G22" s="219">
        <f ca="1" t="shared" si="0"/>
        <v>32</v>
      </c>
      <c r="H22" s="220" t="str">
        <f ca="1">OFFSET(报关单!$I$1,ROW(报关单!I15)*3+18,0)</f>
        <v>人民币</v>
      </c>
      <c r="I22" s="219">
        <f ca="1">OFFSET(报关单!$I$1,ROW(报关单!I15)*3+17,0)</f>
        <v>160</v>
      </c>
    </row>
    <row r="23" ht="30" customHeight="1" spans="1:9">
      <c r="A23" s="222"/>
      <c r="B23" s="216"/>
      <c r="C23" s="217" t="str">
        <f ca="1">OFFSET(报关单!$D$1,ROW(报关单!D16)*3+16,0)</f>
        <v>手表表带</v>
      </c>
      <c r="D23" s="217" t="str">
        <f ca="1">OFFSET(报关单!$D$1,ROW(报关单!E16)*3+17,0)</f>
        <v>ZY2-3</v>
      </c>
      <c r="E23" s="217">
        <f ca="1">OFFSET(报关单!$G$1,ROW(报关单!G16)*3+18,0)</f>
        <v>5</v>
      </c>
      <c r="F23" s="218" t="str">
        <f ca="1">OFFSET(报关单!$H$1,ROW(报关单!H16)*3+18,0)</f>
        <v>条</v>
      </c>
      <c r="G23" s="219">
        <f ca="1" t="shared" si="0"/>
        <v>32</v>
      </c>
      <c r="H23" s="220" t="str">
        <f ca="1">OFFSET(报关单!$I$1,ROW(报关单!I16)*3+18,0)</f>
        <v>人民币</v>
      </c>
      <c r="I23" s="219">
        <f ca="1">OFFSET(报关单!$I$1,ROW(报关单!I16)*3+17,0)</f>
        <v>160</v>
      </c>
    </row>
    <row r="24" ht="25.5" customHeight="1" spans="1:9">
      <c r="A24" s="223"/>
      <c r="B24" s="223"/>
      <c r="C24" s="217" t="str">
        <f ca="1">OFFSET(报关单!$D$1,ROW(报关单!D17)*3+16,0)</f>
        <v>手表表带</v>
      </c>
      <c r="D24" s="217" t="str">
        <f ca="1">OFFSET(报关单!$D$1,ROW(报关单!E17)*3+17,0)</f>
        <v>ZY2-3</v>
      </c>
      <c r="E24" s="217">
        <f ca="1">OFFSET(报关单!$G$1,ROW(报关单!G17)*3+18,0)</f>
        <v>5</v>
      </c>
      <c r="F24" s="218" t="str">
        <f ca="1">OFFSET(报关单!$H$1,ROW(报关单!H17)*3+18,0)</f>
        <v>条</v>
      </c>
      <c r="G24" s="219">
        <f ca="1" t="shared" si="0"/>
        <v>32</v>
      </c>
      <c r="H24" s="220" t="str">
        <f ca="1">OFFSET(报关单!$I$1,ROW(报关单!I17)*3+18,0)</f>
        <v>人民币</v>
      </c>
      <c r="I24" s="219">
        <f ca="1">OFFSET(报关单!$I$1,ROW(报关单!I17)*3+17,0)</f>
        <v>160</v>
      </c>
    </row>
    <row r="25" ht="25.5" customHeight="1" spans="1:9">
      <c r="A25" s="223"/>
      <c r="B25" s="223"/>
      <c r="C25" s="217" t="str">
        <f ca="1">OFFSET(报关单!$D$1,ROW(报关单!D18)*3+16,0)</f>
        <v>手表表带</v>
      </c>
      <c r="D25" s="217" t="str">
        <f ca="1">OFFSET(报关单!$D$1,ROW(报关单!E18)*3+17,0)</f>
        <v>ZY2-3</v>
      </c>
      <c r="E25" s="217">
        <f ca="1">OFFSET(报关单!$G$1,ROW(报关单!G18)*3+18,0)</f>
        <v>5</v>
      </c>
      <c r="F25" s="218" t="str">
        <f ca="1">OFFSET(报关单!$H$1,ROW(报关单!H18)*3+18,0)</f>
        <v>条</v>
      </c>
      <c r="G25" s="219">
        <f ca="1" t="shared" si="0"/>
        <v>32</v>
      </c>
      <c r="H25" s="220" t="str">
        <f ca="1">OFFSET(报关单!$I$1,ROW(报关单!I18)*3+18,0)</f>
        <v>人民币</v>
      </c>
      <c r="I25" s="219">
        <f ca="1">OFFSET(报关单!$I$1,ROW(报关单!I18)*3+17,0)</f>
        <v>160</v>
      </c>
    </row>
    <row r="26" ht="25.5" customHeight="1" spans="1:9">
      <c r="A26" s="223"/>
      <c r="B26" s="223"/>
      <c r="C26" s="217" t="str">
        <f ca="1">OFFSET(报关单!$D$1,ROW(报关单!D19)*3+16,0)</f>
        <v>手表表带</v>
      </c>
      <c r="D26" s="217" t="str">
        <f ca="1">OFFSET(报关单!$D$1,ROW(报关单!E19)*3+17,0)</f>
        <v>ZY2-3</v>
      </c>
      <c r="E26" s="217">
        <f ca="1">OFFSET(报关单!$G$1,ROW(报关单!G19)*3+18,0)</f>
        <v>5</v>
      </c>
      <c r="F26" s="218" t="str">
        <f ca="1">OFFSET(报关单!$H$1,ROW(报关单!H19)*3+18,0)</f>
        <v>条</v>
      </c>
      <c r="G26" s="219">
        <f ca="1" t="shared" si="0"/>
        <v>32</v>
      </c>
      <c r="H26" s="220" t="str">
        <f ca="1">OFFSET(报关单!$I$1,ROW(报关单!I19)*3+18,0)</f>
        <v>人民币</v>
      </c>
      <c r="I26" s="219">
        <f ca="1">OFFSET(报关单!$I$1,ROW(报关单!I19)*3+17,0)</f>
        <v>160</v>
      </c>
    </row>
    <row r="27" ht="25.5" customHeight="1" spans="1:9">
      <c r="A27" s="223"/>
      <c r="B27" s="223"/>
      <c r="C27" s="217" t="str">
        <f ca="1">OFFSET(报关单!$D$1,ROW(报关单!D20)*3+16,0)</f>
        <v>手表表带</v>
      </c>
      <c r="D27" s="217" t="str">
        <f ca="1">OFFSET(报关单!$D$1,ROW(报关单!E20)*3+17,0)</f>
        <v>ZY2-3</v>
      </c>
      <c r="E27" s="217">
        <f ca="1">OFFSET(报关单!$G$1,ROW(报关单!G20)*3+18,0)</f>
        <v>5</v>
      </c>
      <c r="F27" s="218" t="str">
        <f ca="1">OFFSET(报关单!$H$1,ROW(报关单!H20)*3+18,0)</f>
        <v>条</v>
      </c>
      <c r="G27" s="219">
        <f ca="1" t="shared" si="0"/>
        <v>32</v>
      </c>
      <c r="H27" s="220" t="str">
        <f ca="1">OFFSET(报关单!$I$1,ROW(报关单!I20)*3+18,0)</f>
        <v>人民币</v>
      </c>
      <c r="I27" s="219">
        <f ca="1">OFFSET(报关单!$I$1,ROW(报关单!I20)*3+17,0)</f>
        <v>160</v>
      </c>
    </row>
    <row r="28" ht="25.5" customHeight="1" spans="1:9">
      <c r="A28" s="223"/>
      <c r="B28" s="223"/>
      <c r="C28" s="217" t="str">
        <f ca="1">OFFSET(报关单!$D$1,ROW(报关单!D21)*3+16,0)</f>
        <v>手表表带</v>
      </c>
      <c r="D28" s="217" t="str">
        <f ca="1">OFFSET(报关单!$D$1,ROW(报关单!E21)*3+17,0)</f>
        <v>ZY2-3</v>
      </c>
      <c r="E28" s="217">
        <f ca="1">OFFSET(报关单!$G$1,ROW(报关单!G21)*3+18,0)</f>
        <v>5</v>
      </c>
      <c r="F28" s="218" t="str">
        <f ca="1">OFFSET(报关单!$H$1,ROW(报关单!H21)*3+18,0)</f>
        <v>条</v>
      </c>
      <c r="G28" s="219">
        <f ca="1" t="shared" si="0"/>
        <v>32</v>
      </c>
      <c r="H28" s="220" t="str">
        <f ca="1">OFFSET(报关单!$I$1,ROW(报关单!I21)*3+18,0)</f>
        <v>人民币</v>
      </c>
      <c r="I28" s="219">
        <f ca="1">OFFSET(报关单!$I$1,ROW(报关单!I21)*3+17,0)</f>
        <v>160</v>
      </c>
    </row>
    <row r="29" ht="25.5" customHeight="1" spans="1:9">
      <c r="A29" s="223"/>
      <c r="B29" s="223"/>
      <c r="C29" s="217" t="str">
        <f ca="1">OFFSET(报关单!$D$1,ROW(报关单!D22)*3+16,0)</f>
        <v>手表表带</v>
      </c>
      <c r="D29" s="217" t="str">
        <f ca="1">OFFSET(报关单!$D$1,ROW(报关单!E22)*3+17,0)</f>
        <v>ZY2-3</v>
      </c>
      <c r="E29" s="217">
        <f ca="1">OFFSET(报关单!$G$1,ROW(报关单!G22)*3+18,0)</f>
        <v>5</v>
      </c>
      <c r="F29" s="218" t="str">
        <f ca="1">OFFSET(报关单!$H$1,ROW(报关单!H22)*3+18,0)</f>
        <v>条</v>
      </c>
      <c r="G29" s="219">
        <f ca="1" t="shared" si="0"/>
        <v>32</v>
      </c>
      <c r="H29" s="220" t="str">
        <f ca="1">OFFSET(报关单!$I$1,ROW(报关单!I22)*3+18,0)</f>
        <v>人民币</v>
      </c>
      <c r="I29" s="219">
        <f ca="1">OFFSET(报关单!$I$1,ROW(报关单!I22)*3+17,0)</f>
        <v>160</v>
      </c>
    </row>
    <row r="30" ht="25.5" customHeight="1" spans="1:9">
      <c r="A30" s="223"/>
      <c r="B30" s="223"/>
      <c r="C30" s="217" t="str">
        <f ca="1">OFFSET(报关单!$D$1,ROW(报关单!D23)*3+16,0)</f>
        <v>手表表带</v>
      </c>
      <c r="D30" s="217" t="str">
        <f ca="1">OFFSET(报关单!$D$1,ROW(报关单!E23)*3+17,0)</f>
        <v>ZY2-3</v>
      </c>
      <c r="E30" s="217">
        <f ca="1">OFFSET(报关单!$G$1,ROW(报关单!G23)*3+18,0)</f>
        <v>5</v>
      </c>
      <c r="F30" s="218" t="str">
        <f ca="1">OFFSET(报关单!$H$1,ROW(报关单!H23)*3+18,0)</f>
        <v>条</v>
      </c>
      <c r="G30" s="219">
        <f ca="1" t="shared" si="0"/>
        <v>32</v>
      </c>
      <c r="H30" s="220" t="str">
        <f ca="1">OFFSET(报关单!$I$1,ROW(报关单!I23)*3+18,0)</f>
        <v>人民币</v>
      </c>
      <c r="I30" s="219">
        <f ca="1">OFFSET(报关单!$I$1,ROW(报关单!I23)*3+17,0)</f>
        <v>160</v>
      </c>
    </row>
    <row r="31" ht="25.5" customHeight="1" spans="1:9">
      <c r="A31" s="223"/>
      <c r="B31" s="223"/>
      <c r="C31" s="217" t="str">
        <f ca="1">OFFSET(报关单!$D$1,ROW(报关单!D24)*3+16,0)</f>
        <v>手表表带</v>
      </c>
      <c r="D31" s="217" t="str">
        <f ca="1">OFFSET(报关单!$D$1,ROW(报关单!E24)*3+17,0)</f>
        <v>ZY2-3</v>
      </c>
      <c r="E31" s="217">
        <f ca="1">OFFSET(报关单!$G$1,ROW(报关单!G24)*3+18,0)</f>
        <v>5</v>
      </c>
      <c r="F31" s="218" t="str">
        <f ca="1">OFFSET(报关单!$H$1,ROW(报关单!H24)*3+18,0)</f>
        <v>条</v>
      </c>
      <c r="G31" s="219">
        <f ca="1" t="shared" si="0"/>
        <v>32</v>
      </c>
      <c r="H31" s="220" t="str">
        <f ca="1">OFFSET(报关单!$I$1,ROW(报关单!I24)*3+18,0)</f>
        <v>人民币</v>
      </c>
      <c r="I31" s="219">
        <f ca="1">OFFSET(报关单!$I$1,ROW(报关单!I24)*3+17,0)</f>
        <v>160</v>
      </c>
    </row>
    <row r="32" ht="25.5" customHeight="1" spans="1:9">
      <c r="A32" s="223"/>
      <c r="B32" s="223"/>
      <c r="C32" s="217" t="str">
        <f ca="1">OFFSET(报关单!$D$1,ROW(报关单!D25)*3+16,0)</f>
        <v>手表表带</v>
      </c>
      <c r="D32" s="217" t="str">
        <f ca="1">OFFSET(报关单!$D$1,ROW(报关单!E25)*3+17,0)</f>
        <v>ZY2-3</v>
      </c>
      <c r="E32" s="217">
        <f ca="1">OFFSET(报关单!$G$1,ROW(报关单!G25)*3+18,0)</f>
        <v>5</v>
      </c>
      <c r="F32" s="218" t="str">
        <f ca="1">OFFSET(报关单!$H$1,ROW(报关单!H25)*3+18,0)</f>
        <v>条</v>
      </c>
      <c r="G32" s="219">
        <f ca="1" t="shared" si="0"/>
        <v>32</v>
      </c>
      <c r="H32" s="220" t="str">
        <f ca="1">OFFSET(报关单!$I$1,ROW(报关单!I25)*3+18,0)</f>
        <v>人民币</v>
      </c>
      <c r="I32" s="219">
        <f ca="1">OFFSET(报关单!$I$1,ROW(报关单!I25)*3+17,0)</f>
        <v>160</v>
      </c>
    </row>
    <row r="33" ht="25.5" customHeight="1" spans="1:9">
      <c r="A33" s="223"/>
      <c r="B33" s="223"/>
      <c r="C33" s="217" t="str">
        <f ca="1">OFFSET(报关单!$D$1,ROW(报关单!D26)*3+16,0)</f>
        <v>手表表带</v>
      </c>
      <c r="D33" s="217" t="str">
        <f ca="1">OFFSET(报关单!$D$1,ROW(报关单!E26)*3+17,0)</f>
        <v>ZY2-3</v>
      </c>
      <c r="E33" s="217">
        <f ca="1">OFFSET(报关单!$G$1,ROW(报关单!G26)*3+18,0)</f>
        <v>5</v>
      </c>
      <c r="F33" s="218" t="str">
        <f ca="1">OFFSET(报关单!$H$1,ROW(报关单!H26)*3+18,0)</f>
        <v>条</v>
      </c>
      <c r="G33" s="219">
        <f ca="1" t="shared" si="0"/>
        <v>32</v>
      </c>
      <c r="H33" s="220" t="str">
        <f ca="1">OFFSET(报关单!$I$1,ROW(报关单!I26)*3+18,0)</f>
        <v>人民币</v>
      </c>
      <c r="I33" s="219">
        <f ca="1">OFFSET(报关单!$I$1,ROW(报关单!I26)*3+17,0)</f>
        <v>160</v>
      </c>
    </row>
    <row r="34" ht="25.5" customHeight="1" spans="1:9">
      <c r="A34" s="223"/>
      <c r="B34" s="223"/>
      <c r="C34" s="217" t="str">
        <f ca="1">OFFSET(报关单!$D$1,ROW(报关单!D27)*3+16,0)</f>
        <v>手表表带</v>
      </c>
      <c r="D34" s="217" t="str">
        <f ca="1">OFFSET(报关单!$D$1,ROW(报关单!E27)*3+17,0)</f>
        <v>ZY2-3</v>
      </c>
      <c r="E34" s="217">
        <f ca="1">OFFSET(报关单!$G$1,ROW(报关单!G27)*3+18,0)</f>
        <v>5</v>
      </c>
      <c r="F34" s="218" t="str">
        <f ca="1">OFFSET(报关单!$H$1,ROW(报关单!H27)*3+18,0)</f>
        <v>条</v>
      </c>
      <c r="G34" s="219">
        <f ca="1" t="shared" si="0"/>
        <v>32</v>
      </c>
      <c r="H34" s="220" t="str">
        <f ca="1">OFFSET(报关单!$I$1,ROW(报关单!I27)*3+18,0)</f>
        <v>人民币</v>
      </c>
      <c r="I34" s="219">
        <f ca="1">OFFSET(报关单!$I$1,ROW(报关单!I27)*3+17,0)</f>
        <v>160</v>
      </c>
    </row>
    <row r="35" ht="25.5" customHeight="1" spans="1:9">
      <c r="A35" s="223"/>
      <c r="B35" s="223"/>
      <c r="C35" s="217" t="str">
        <f ca="1">OFFSET(报关单!$D$1,ROW(报关单!D28)*3+16,0)</f>
        <v>手表表带</v>
      </c>
      <c r="D35" s="217" t="str">
        <f ca="1">OFFSET(报关单!$D$1,ROW(报关单!E28)*3+17,0)</f>
        <v>ZY2-3</v>
      </c>
      <c r="E35" s="217">
        <f ca="1">OFFSET(报关单!$G$1,ROW(报关单!G28)*3+18,0)</f>
        <v>5</v>
      </c>
      <c r="F35" s="218" t="str">
        <f ca="1">OFFSET(报关单!$H$1,ROW(报关单!H28)*3+18,0)</f>
        <v>条</v>
      </c>
      <c r="G35" s="219">
        <f ca="1" t="shared" si="0"/>
        <v>32</v>
      </c>
      <c r="H35" s="220" t="str">
        <f ca="1">OFFSET(报关单!$I$1,ROW(报关单!I28)*3+18,0)</f>
        <v>人民币</v>
      </c>
      <c r="I35" s="219">
        <f ca="1">OFFSET(报关单!$I$1,ROW(报关单!I28)*3+17,0)</f>
        <v>160</v>
      </c>
    </row>
    <row r="36" ht="25.5" customHeight="1" spans="1:9">
      <c r="A36" s="223"/>
      <c r="B36" s="223"/>
      <c r="C36" s="217" t="str">
        <f ca="1">OFFSET(报关单!$D$1,ROW(报关单!D29)*3+16,0)</f>
        <v>手表表带</v>
      </c>
      <c r="D36" s="217" t="str">
        <f ca="1">OFFSET(报关单!$D$1,ROW(报关单!E29)*3+17,0)</f>
        <v>ZY2-3</v>
      </c>
      <c r="E36" s="217">
        <f ca="1">OFFSET(报关单!$G$1,ROW(报关单!G29)*3+18,0)</f>
        <v>5</v>
      </c>
      <c r="F36" s="218" t="str">
        <f ca="1">OFFSET(报关单!$H$1,ROW(报关单!H29)*3+18,0)</f>
        <v>条</v>
      </c>
      <c r="G36" s="219">
        <f ca="1" t="shared" si="0"/>
        <v>32</v>
      </c>
      <c r="H36" s="220" t="str">
        <f ca="1">OFFSET(报关单!$I$1,ROW(报关单!I29)*3+18,0)</f>
        <v>人民币</v>
      </c>
      <c r="I36" s="219">
        <f ca="1">OFFSET(报关单!$I$1,ROW(报关单!I29)*3+17,0)</f>
        <v>160</v>
      </c>
    </row>
    <row r="37" ht="25.5" customHeight="1" spans="1:9">
      <c r="A37" s="223"/>
      <c r="B37" s="223"/>
      <c r="C37" s="217" t="str">
        <f ca="1">OFFSET(报关单!$D$1,ROW(报关单!D30)*3+16,0)</f>
        <v>手表表带</v>
      </c>
      <c r="D37" s="217" t="str">
        <f ca="1">OFFSET(报关单!$D$1,ROW(报关单!E30)*3+17,0)</f>
        <v>ZY2-3</v>
      </c>
      <c r="E37" s="217">
        <f ca="1">OFFSET(报关单!$G$1,ROW(报关单!G30)*3+18,0)</f>
        <v>5</v>
      </c>
      <c r="F37" s="218" t="str">
        <f ca="1">OFFSET(报关单!$H$1,ROW(报关单!H30)*3+18,0)</f>
        <v>条</v>
      </c>
      <c r="G37" s="219">
        <f ca="1" t="shared" si="0"/>
        <v>32</v>
      </c>
      <c r="H37" s="220" t="str">
        <f ca="1">OFFSET(报关单!$I$1,ROW(报关单!I30)*3+18,0)</f>
        <v>人民币</v>
      </c>
      <c r="I37" s="219">
        <f ca="1">OFFSET(报关单!$I$1,ROW(报关单!I30)*3+17,0)</f>
        <v>160</v>
      </c>
    </row>
    <row r="38" ht="25.5" customHeight="1" spans="1:9">
      <c r="A38" s="223"/>
      <c r="B38" s="223"/>
      <c r="C38" s="217" t="str">
        <f ca="1">OFFSET(报关单!$D$1,ROW(报关单!D31)*3+16,0)</f>
        <v>手表表带</v>
      </c>
      <c r="D38" s="217" t="str">
        <f ca="1">OFFSET(报关单!$D$1,ROW(报关单!E31)*3+17,0)</f>
        <v>ZY2-3</v>
      </c>
      <c r="E38" s="217">
        <f ca="1">OFFSET(报关单!$G$1,ROW(报关单!G31)*3+18,0)</f>
        <v>5</v>
      </c>
      <c r="F38" s="218" t="str">
        <f ca="1">OFFSET(报关单!$H$1,ROW(报关单!H31)*3+18,0)</f>
        <v>条</v>
      </c>
      <c r="G38" s="219">
        <f ca="1" t="shared" si="0"/>
        <v>32</v>
      </c>
      <c r="H38" s="220" t="str">
        <f ca="1">OFFSET(报关单!$I$1,ROW(报关单!I31)*3+18,0)</f>
        <v>人民币</v>
      </c>
      <c r="I38" s="219">
        <f ca="1">OFFSET(报关单!$I$1,ROW(报关单!I31)*3+17,0)</f>
        <v>160</v>
      </c>
    </row>
    <row r="39" ht="25.5" customHeight="1" spans="1:9">
      <c r="A39" s="223"/>
      <c r="B39" s="223"/>
      <c r="C39" s="217" t="str">
        <f ca="1">OFFSET(报关单!$D$1,ROW(报关单!D32)*3+16,0)</f>
        <v>手表表带</v>
      </c>
      <c r="D39" s="217" t="str">
        <f ca="1">OFFSET(报关单!$D$1,ROW(报关单!E32)*3+17,0)</f>
        <v>ZY2-3</v>
      </c>
      <c r="E39" s="217">
        <f ca="1">OFFSET(报关单!$G$1,ROW(报关单!G32)*3+18,0)</f>
        <v>5</v>
      </c>
      <c r="F39" s="218" t="str">
        <f ca="1">OFFSET(报关单!$H$1,ROW(报关单!H32)*3+18,0)</f>
        <v>条</v>
      </c>
      <c r="G39" s="219">
        <f ca="1" t="shared" ref="G39:G51" si="1">IFERROR(I39/E39,0)</f>
        <v>32</v>
      </c>
      <c r="H39" s="220" t="str">
        <f ca="1">OFFSET(报关单!$I$1,ROW(报关单!I32)*3+18,0)</f>
        <v>人民币</v>
      </c>
      <c r="I39" s="219">
        <f ca="1">OFFSET(报关单!$I$1,ROW(报关单!I32)*3+17,0)</f>
        <v>160</v>
      </c>
    </row>
    <row r="40" ht="25.5" customHeight="1" spans="1:9">
      <c r="A40" s="223"/>
      <c r="B40" s="223"/>
      <c r="C40" s="217" t="str">
        <f ca="1">OFFSET(报关单!$D$1,ROW(报关单!D33)*3+16,0)</f>
        <v>手表表带</v>
      </c>
      <c r="D40" s="217" t="str">
        <f ca="1">OFFSET(报关单!$D$1,ROW(报关单!E33)*3+17,0)</f>
        <v>ZY2-3</v>
      </c>
      <c r="E40" s="217">
        <f ca="1">OFFSET(报关单!$G$1,ROW(报关单!G33)*3+18,0)</f>
        <v>5</v>
      </c>
      <c r="F40" s="218" t="str">
        <f ca="1">OFFSET(报关单!$H$1,ROW(报关单!H33)*3+18,0)</f>
        <v>条</v>
      </c>
      <c r="G40" s="219">
        <f ca="1" t="shared" si="1"/>
        <v>32</v>
      </c>
      <c r="H40" s="220" t="str">
        <f ca="1">OFFSET(报关单!$I$1,ROW(报关单!I33)*3+18,0)</f>
        <v>人民币</v>
      </c>
      <c r="I40" s="219">
        <f ca="1">OFFSET(报关单!$I$1,ROW(报关单!I33)*3+17,0)</f>
        <v>160</v>
      </c>
    </row>
    <row r="41" ht="25.5" customHeight="1" spans="1:9">
      <c r="A41" s="223"/>
      <c r="B41" s="223"/>
      <c r="C41" s="217" t="str">
        <f ca="1">OFFSET(报关单!$D$1,ROW(报关单!D34)*3+16,0)</f>
        <v>手表表带</v>
      </c>
      <c r="D41" s="217" t="str">
        <f ca="1">OFFSET(报关单!$D$1,ROW(报关单!E34)*3+17,0)</f>
        <v>ZY2-3</v>
      </c>
      <c r="E41" s="217">
        <f ca="1">OFFSET(报关单!$G$1,ROW(报关单!G34)*3+18,0)</f>
        <v>5</v>
      </c>
      <c r="F41" s="218" t="str">
        <f ca="1">OFFSET(报关单!$H$1,ROW(报关单!H34)*3+18,0)</f>
        <v>条</v>
      </c>
      <c r="G41" s="219">
        <f ca="1" t="shared" si="1"/>
        <v>32</v>
      </c>
      <c r="H41" s="220" t="str">
        <f ca="1">OFFSET(报关单!$I$1,ROW(报关单!I34)*3+18,0)</f>
        <v>人民币</v>
      </c>
      <c r="I41" s="219">
        <f ca="1">OFFSET(报关单!$I$1,ROW(报关单!I34)*3+17,0)</f>
        <v>160</v>
      </c>
    </row>
    <row r="42" ht="25.5" customHeight="1" spans="1:9">
      <c r="A42" s="223"/>
      <c r="B42" s="223"/>
      <c r="C42" s="217" t="str">
        <f ca="1">OFFSET(报关单!$D$1,ROW(报关单!D35)*3+16,0)</f>
        <v>手表表带</v>
      </c>
      <c r="D42" s="217" t="str">
        <f ca="1">OFFSET(报关单!$D$1,ROW(报关单!E35)*3+17,0)</f>
        <v>ZY2-3</v>
      </c>
      <c r="E42" s="217">
        <f ca="1">OFFSET(报关单!$G$1,ROW(报关单!G35)*3+18,0)</f>
        <v>5</v>
      </c>
      <c r="F42" s="218" t="str">
        <f ca="1">OFFSET(报关单!$H$1,ROW(报关单!H35)*3+18,0)</f>
        <v>条</v>
      </c>
      <c r="G42" s="219">
        <f ca="1" t="shared" si="1"/>
        <v>32</v>
      </c>
      <c r="H42" s="220" t="str">
        <f ca="1">OFFSET(报关单!$I$1,ROW(报关单!I35)*3+18,0)</f>
        <v>人民币</v>
      </c>
      <c r="I42" s="219">
        <f ca="1">OFFSET(报关单!$I$1,ROW(报关单!I35)*3+17,0)</f>
        <v>160</v>
      </c>
    </row>
    <row r="43" ht="25.5" customHeight="1" spans="1:9">
      <c r="A43" s="223"/>
      <c r="B43" s="223"/>
      <c r="C43" s="217" t="str">
        <f ca="1">OFFSET(报关单!$D$1,ROW(报关单!D36)*3+16,0)</f>
        <v>手表表带</v>
      </c>
      <c r="D43" s="217" t="str">
        <f ca="1">OFFSET(报关单!$D$1,ROW(报关单!E36)*3+17,0)</f>
        <v>ZY2-3</v>
      </c>
      <c r="E43" s="217">
        <f ca="1">OFFSET(报关单!$G$1,ROW(报关单!G36)*3+18,0)</f>
        <v>5</v>
      </c>
      <c r="F43" s="218" t="str">
        <f ca="1">OFFSET(报关单!$H$1,ROW(报关单!H36)*3+18,0)</f>
        <v>条</v>
      </c>
      <c r="G43" s="219">
        <f ca="1" t="shared" si="1"/>
        <v>32</v>
      </c>
      <c r="H43" s="220" t="str">
        <f ca="1">OFFSET(报关单!$I$1,ROW(报关单!I36)*3+18,0)</f>
        <v>人民币</v>
      </c>
      <c r="I43" s="219">
        <f ca="1">OFFSET(报关单!$I$1,ROW(报关单!I36)*3+17,0)</f>
        <v>160</v>
      </c>
    </row>
    <row r="44" ht="25.5" customHeight="1" spans="1:9">
      <c r="A44" s="223"/>
      <c r="B44" s="223"/>
      <c r="C44" s="217" t="str">
        <f ca="1">OFFSET(报关单!$D$1,ROW(报关单!D37)*3+16,0)</f>
        <v>手表表带</v>
      </c>
      <c r="D44" s="217" t="str">
        <f ca="1">OFFSET(报关单!$D$1,ROW(报关单!E37)*3+17,0)</f>
        <v>ZY2-3</v>
      </c>
      <c r="E44" s="217">
        <f ca="1">OFFSET(报关单!$G$1,ROW(报关单!G37)*3+18,0)</f>
        <v>5</v>
      </c>
      <c r="F44" s="218" t="str">
        <f ca="1">OFFSET(报关单!$H$1,ROW(报关单!H37)*3+18,0)</f>
        <v>条</v>
      </c>
      <c r="G44" s="219">
        <f ca="1" t="shared" si="1"/>
        <v>32</v>
      </c>
      <c r="H44" s="220" t="str">
        <f ca="1">OFFSET(报关单!$I$1,ROW(报关单!I37)*3+18,0)</f>
        <v>人民币</v>
      </c>
      <c r="I44" s="219">
        <f ca="1">OFFSET(报关单!$I$1,ROW(报关单!I37)*3+17,0)</f>
        <v>160</v>
      </c>
    </row>
    <row r="45" ht="25.5" customHeight="1" spans="1:9">
      <c r="A45" s="223"/>
      <c r="B45" s="223"/>
      <c r="C45" s="217" t="str">
        <f ca="1">OFFSET(报关单!$D$1,ROW(报关单!D38)*3+16,0)</f>
        <v>手表表带</v>
      </c>
      <c r="D45" s="217" t="str">
        <f ca="1">OFFSET(报关单!$D$1,ROW(报关单!E38)*3+17,0)</f>
        <v>ZY2-3</v>
      </c>
      <c r="E45" s="217">
        <f ca="1">OFFSET(报关单!$G$1,ROW(报关单!G38)*3+18,0)</f>
        <v>5</v>
      </c>
      <c r="F45" s="218" t="str">
        <f ca="1">OFFSET(报关单!$H$1,ROW(报关单!H38)*3+18,0)</f>
        <v>条</v>
      </c>
      <c r="G45" s="219">
        <f ca="1" t="shared" si="1"/>
        <v>32</v>
      </c>
      <c r="H45" s="220" t="str">
        <f ca="1">OFFSET(报关单!$I$1,ROW(报关单!I38)*3+18,0)</f>
        <v>人民币</v>
      </c>
      <c r="I45" s="219">
        <f ca="1">OFFSET(报关单!$I$1,ROW(报关单!I38)*3+17,0)</f>
        <v>160</v>
      </c>
    </row>
    <row r="46" ht="25.5" customHeight="1" spans="1:9">
      <c r="A46" s="223"/>
      <c r="B46" s="223"/>
      <c r="C46" s="217" t="str">
        <f ca="1">OFFSET(报关单!$D$1,ROW(报关单!D39)*3+16,0)</f>
        <v>手表表带</v>
      </c>
      <c r="D46" s="217" t="str">
        <f ca="1">OFFSET(报关单!$D$1,ROW(报关单!E39)*3+17,0)</f>
        <v>ZY2-3</v>
      </c>
      <c r="E46" s="217">
        <f ca="1">OFFSET(报关单!$G$1,ROW(报关单!G39)*3+18,0)</f>
        <v>5</v>
      </c>
      <c r="F46" s="218" t="str">
        <f ca="1">OFFSET(报关单!$H$1,ROW(报关单!H39)*3+18,0)</f>
        <v>条</v>
      </c>
      <c r="G46" s="219">
        <f ca="1" t="shared" si="1"/>
        <v>32</v>
      </c>
      <c r="H46" s="220" t="str">
        <f ca="1">OFFSET(报关单!$I$1,ROW(报关单!I39)*3+18,0)</f>
        <v>人民币</v>
      </c>
      <c r="I46" s="219">
        <f ca="1">OFFSET(报关单!$I$1,ROW(报关单!I39)*3+17,0)</f>
        <v>160</v>
      </c>
    </row>
    <row r="47" ht="25.5" customHeight="1" spans="1:9">
      <c r="A47" s="223"/>
      <c r="B47" s="223"/>
      <c r="C47" s="217" t="str">
        <f ca="1">OFFSET(报关单!$D$1,ROW(报关单!D40)*3+16,0)</f>
        <v>手表表带</v>
      </c>
      <c r="D47" s="217" t="str">
        <f ca="1">OFFSET(报关单!$D$1,ROW(报关单!E40)*3+17,0)</f>
        <v>ZY2-3</v>
      </c>
      <c r="E47" s="217">
        <f ca="1">OFFSET(报关单!$G$1,ROW(报关单!G40)*3+18,0)</f>
        <v>5</v>
      </c>
      <c r="F47" s="218" t="str">
        <f ca="1">OFFSET(报关单!$H$1,ROW(报关单!H40)*3+18,0)</f>
        <v>条</v>
      </c>
      <c r="G47" s="219">
        <f ca="1" t="shared" si="1"/>
        <v>32</v>
      </c>
      <c r="H47" s="220" t="str">
        <f ca="1">OFFSET(报关单!$I$1,ROW(报关单!I40)*3+18,0)</f>
        <v>人民币</v>
      </c>
      <c r="I47" s="219">
        <f ca="1">OFFSET(报关单!$I$1,ROW(报关单!I40)*3+17,0)</f>
        <v>160</v>
      </c>
    </row>
    <row r="48" ht="25.5" customHeight="1" spans="1:9">
      <c r="A48" s="223"/>
      <c r="B48" s="223"/>
      <c r="C48" s="217" t="str">
        <f ca="1">OFFSET(报关单!$D$1,ROW(报关单!D41)*3+16,0)</f>
        <v>手表表带</v>
      </c>
      <c r="D48" s="217" t="str">
        <f ca="1">OFFSET(报关单!$D$1,ROW(报关单!E41)*3+17,0)</f>
        <v>ZY2-3</v>
      </c>
      <c r="E48" s="217">
        <f ca="1">OFFSET(报关单!$G$1,ROW(报关单!G41)*3+18,0)</f>
        <v>5</v>
      </c>
      <c r="F48" s="218" t="str">
        <f ca="1">OFFSET(报关单!$H$1,ROW(报关单!H41)*3+18,0)</f>
        <v>条</v>
      </c>
      <c r="G48" s="219">
        <f ca="1" t="shared" si="1"/>
        <v>32</v>
      </c>
      <c r="H48" s="220" t="str">
        <f ca="1">OFFSET(报关单!$I$1,ROW(报关单!I41)*3+18,0)</f>
        <v>人民币</v>
      </c>
      <c r="I48" s="219">
        <f ca="1">OFFSET(报关单!$I$1,ROW(报关单!I41)*3+17,0)</f>
        <v>160</v>
      </c>
    </row>
    <row r="49" ht="25.5" customHeight="1" spans="1:9">
      <c r="A49" s="223"/>
      <c r="B49" s="223"/>
      <c r="C49" s="217" t="str">
        <f ca="1">OFFSET(报关单!$D$1,ROW(报关单!D42)*3+16,0)</f>
        <v>手表表带</v>
      </c>
      <c r="D49" s="217" t="str">
        <f ca="1">OFFSET(报关单!$D$1,ROW(报关单!E42)*3+17,0)</f>
        <v>ZY2-3</v>
      </c>
      <c r="E49" s="217">
        <f ca="1">OFFSET(报关单!$G$1,ROW(报关单!G42)*3+18,0)</f>
        <v>5</v>
      </c>
      <c r="F49" s="218" t="str">
        <f ca="1">OFFSET(报关单!$H$1,ROW(报关单!H42)*3+18,0)</f>
        <v>条</v>
      </c>
      <c r="G49" s="219">
        <f ca="1" t="shared" si="1"/>
        <v>32</v>
      </c>
      <c r="H49" s="220" t="str">
        <f ca="1">OFFSET(报关单!$I$1,ROW(报关单!I42)*3+18,0)</f>
        <v>人民币</v>
      </c>
      <c r="I49" s="219">
        <f ca="1">OFFSET(报关单!$I$1,ROW(报关单!I42)*3+17,0)</f>
        <v>160</v>
      </c>
    </row>
    <row r="50" ht="25.5" customHeight="1" spans="1:9">
      <c r="A50" s="223"/>
      <c r="B50" s="223"/>
      <c r="C50" s="217" t="str">
        <f ca="1">OFFSET(报关单!$D$1,ROW(报关单!D43)*3+16,0)</f>
        <v>手表表带</v>
      </c>
      <c r="D50" s="217" t="str">
        <f ca="1">OFFSET(报关单!$D$1,ROW(报关单!E43)*3+17,0)</f>
        <v>ZY2-3</v>
      </c>
      <c r="E50" s="217">
        <f ca="1">OFFSET(报关单!$G$1,ROW(报关单!G43)*3+18,0)</f>
        <v>5</v>
      </c>
      <c r="F50" s="218" t="str">
        <f ca="1">OFFSET(报关单!$H$1,ROW(报关单!H43)*3+18,0)</f>
        <v>条</v>
      </c>
      <c r="G50" s="219">
        <f ca="1" t="shared" si="1"/>
        <v>32</v>
      </c>
      <c r="H50" s="220" t="str">
        <f ca="1">OFFSET(报关单!$I$1,ROW(报关单!I43)*3+18,0)</f>
        <v>人民币</v>
      </c>
      <c r="I50" s="219">
        <f ca="1">OFFSET(报关单!$I$1,ROW(报关单!I43)*3+17,0)</f>
        <v>160</v>
      </c>
    </row>
    <row r="51" ht="25.5" customHeight="1" spans="1:9">
      <c r="A51" s="223"/>
      <c r="B51" s="223"/>
      <c r="C51" s="217" t="str">
        <f ca="1">OFFSET(报关单!$D$1,ROW(报关单!D44)*3+16,0)</f>
        <v>手表表带</v>
      </c>
      <c r="D51" s="217" t="str">
        <f ca="1">OFFSET(报关单!$D$1,ROW(报关单!E44)*3+17,0)</f>
        <v>ZY2-3</v>
      </c>
      <c r="E51" s="217">
        <f ca="1">OFFSET(报关单!$G$1,ROW(报关单!G44)*3+18,0)</f>
        <v>5</v>
      </c>
      <c r="F51" s="218" t="str">
        <f ca="1">OFFSET(报关单!$H$1,ROW(报关单!H44)*3+18,0)</f>
        <v>条</v>
      </c>
      <c r="G51" s="219">
        <f ca="1" t="shared" si="1"/>
        <v>32</v>
      </c>
      <c r="H51" s="220" t="str">
        <f ca="1">OFFSET(报关单!$I$1,ROW(报关单!I44)*3+18,0)</f>
        <v>人民币</v>
      </c>
      <c r="I51" s="219">
        <f ca="1">OFFSET(报关单!$I$1,ROW(报关单!I44)*3+17,0)</f>
        <v>160</v>
      </c>
    </row>
    <row r="52" ht="25.5" customHeight="1" spans="1:9">
      <c r="A52" s="223"/>
      <c r="B52" s="223"/>
      <c r="C52" s="224"/>
      <c r="D52" s="225"/>
      <c r="E52" s="225"/>
      <c r="F52" s="225"/>
      <c r="G52" s="226"/>
      <c r="H52" s="227"/>
      <c r="I52" s="228"/>
    </row>
    <row r="53" ht="25.5" customHeight="1" spans="1:9">
      <c r="A53" s="223"/>
      <c r="B53" s="223"/>
      <c r="C53" s="224"/>
      <c r="D53" s="225"/>
      <c r="E53" s="225"/>
      <c r="F53" s="225"/>
      <c r="G53" s="226"/>
      <c r="H53" s="227"/>
      <c r="I53" s="228"/>
    </row>
    <row r="54" ht="25.5" customHeight="1" spans="1:9">
      <c r="A54" s="223"/>
      <c r="B54" s="223"/>
      <c r="C54" s="224"/>
      <c r="D54" s="225"/>
      <c r="E54" s="225"/>
      <c r="F54" s="225"/>
      <c r="G54" s="226"/>
      <c r="H54" s="227"/>
      <c r="I54" s="228"/>
    </row>
    <row r="55" ht="25.5" customHeight="1" spans="1:9">
      <c r="A55" s="229" t="str">
        <f ca="1">IF(H55="CNY","总计人民币:",IF(H55="USD","总计美元: ","  "))</f>
        <v>  </v>
      </c>
      <c r="B55" s="229"/>
      <c r="C55" s="230" t="s">
        <v>220</v>
      </c>
      <c r="D55" s="231"/>
      <c r="E55" s="231"/>
      <c r="F55" s="231"/>
      <c r="G55" s="232" t="s">
        <v>221</v>
      </c>
      <c r="H55" s="233" t="str">
        <f ca="1">H8</f>
        <v>人民币</v>
      </c>
      <c r="I55" s="234">
        <f ca="1">SUM(I8:I54)</f>
        <v>24985</v>
      </c>
    </row>
    <row r="56" spans="1:9">
      <c r="A56" s="235" t="s">
        <v>222</v>
      </c>
      <c r="B56" s="236"/>
      <c r="C56" s="237"/>
      <c r="D56" s="238"/>
      <c r="E56" s="156"/>
      <c r="F56" s="156"/>
      <c r="G56" s="239" t="s">
        <v>74</v>
      </c>
      <c r="H56" s="239"/>
      <c r="I56" s="239"/>
    </row>
    <row r="57" spans="1:9">
      <c r="A57" s="236"/>
      <c r="B57" s="236"/>
      <c r="C57" s="237"/>
      <c r="D57" s="238"/>
      <c r="E57" s="156"/>
      <c r="F57" s="156"/>
      <c r="G57" s="239"/>
      <c r="H57" s="239"/>
      <c r="I57" s="239"/>
    </row>
    <row r="58" ht="18.95" customHeight="1" spans="1:9">
      <c r="A58" s="236"/>
      <c r="B58" s="236"/>
      <c r="C58" s="156"/>
      <c r="D58" s="156"/>
      <c r="E58" s="156"/>
      <c r="F58" s="156"/>
      <c r="G58" s="156"/>
      <c r="H58" s="156"/>
      <c r="I58" s="156"/>
    </row>
    <row r="59" spans="1:9">
      <c r="A59" s="240"/>
      <c r="B59" s="157"/>
      <c r="C59" s="157"/>
      <c r="D59" s="157"/>
      <c r="E59" s="157"/>
      <c r="F59" s="157"/>
      <c r="G59" s="157"/>
      <c r="H59" s="157"/>
      <c r="I59" s="157"/>
    </row>
    <row r="60" spans="1:9">
      <c r="A60" s="240"/>
      <c r="B60" s="157"/>
      <c r="C60" s="157"/>
      <c r="D60" s="157"/>
      <c r="E60" s="157"/>
      <c r="F60" s="157"/>
      <c r="G60" s="157"/>
      <c r="H60" s="157"/>
      <c r="I60" s="157"/>
    </row>
    <row r="61" spans="1:9">
      <c r="A61" s="240"/>
      <c r="B61" s="157"/>
      <c r="C61" s="157"/>
      <c r="D61" s="157"/>
      <c r="E61" s="157"/>
      <c r="F61" s="157"/>
      <c r="G61" s="157"/>
      <c r="H61" s="157"/>
      <c r="I61" s="157"/>
    </row>
    <row r="62" spans="1:9">
      <c r="A62" s="240"/>
      <c r="B62" s="240"/>
      <c r="C62" s="240" t="s">
        <v>223</v>
      </c>
      <c r="D62" s="240"/>
      <c r="E62" s="240"/>
      <c r="F62" s="240"/>
      <c r="G62" s="240"/>
      <c r="H62" s="240"/>
      <c r="I62" s="240"/>
    </row>
    <row r="63" spans="1:9">
      <c r="A63" s="240"/>
      <c r="B63" s="240"/>
      <c r="C63" s="240"/>
      <c r="D63" s="240"/>
      <c r="E63" s="240"/>
      <c r="F63" s="240"/>
      <c r="G63" s="240"/>
      <c r="H63" s="240"/>
      <c r="I63" s="240"/>
    </row>
    <row r="64" spans="1:9">
      <c r="A64" s="240"/>
      <c r="B64" s="240"/>
      <c r="C64" s="240"/>
      <c r="D64" s="240"/>
      <c r="E64" s="240"/>
      <c r="F64" s="240"/>
      <c r="G64" s="240"/>
      <c r="H64" s="240"/>
      <c r="I64" s="240"/>
    </row>
    <row r="68" ht="3.75" customHeight="1"/>
  </sheetData>
  <mergeCells count="17">
    <mergeCell ref="A1:I1"/>
    <mergeCell ref="H2:I2"/>
    <mergeCell ref="A3:B3"/>
    <mergeCell ref="C3:E3"/>
    <mergeCell ref="H3:I3"/>
    <mergeCell ref="C4:E4"/>
    <mergeCell ref="G4:I4"/>
    <mergeCell ref="B5:C5"/>
    <mergeCell ref="A7:B7"/>
    <mergeCell ref="E7:F7"/>
    <mergeCell ref="H7:I7"/>
    <mergeCell ref="A55:B55"/>
    <mergeCell ref="C55:F55"/>
    <mergeCell ref="C56:C57"/>
    <mergeCell ref="A8:B23"/>
    <mergeCell ref="A56:B58"/>
    <mergeCell ref="G56:I57"/>
  </mergeCells>
  <pageMargins left="0.31" right="0.2" top="0.35" bottom="0.24" header="0.24" footer="0.08"/>
  <pageSetup paperSize="9" scale="71" orientation="portrait" horizontalDpi="600" verticalDpi="600"/>
  <headerFooter alignWithMargins="0" scaleWithDoc="0"/>
  <rowBreaks count="1" manualBreakCount="1">
    <brk id="54" max="8"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4"/>
  <sheetViews>
    <sheetView showZeros="0" view="pageBreakPreview" zoomScaleNormal="100" workbookViewId="0">
      <selection activeCell="C9" sqref="C9:C11"/>
    </sheetView>
  </sheetViews>
  <sheetFormatPr defaultColWidth="9" defaultRowHeight="15.75"/>
  <cols>
    <col min="1" max="1" width="11.5" style="68" customWidth="1"/>
    <col min="2" max="2" width="23" style="68" customWidth="1"/>
    <col min="3" max="4" width="12.25" style="68" customWidth="1"/>
    <col min="5" max="5" width="8.625" style="89" customWidth="1"/>
    <col min="6" max="6" width="4.125" style="166" customWidth="1"/>
    <col min="7" max="7" width="13.5" style="68" customWidth="1"/>
    <col min="8" max="8" width="18.125" style="68" customWidth="1"/>
    <col min="9" max="15" width="9" style="68"/>
    <col min="16" max="16" width="12.625" style="68"/>
    <col min="17" max="16384" width="9" style="68"/>
  </cols>
  <sheetData>
    <row r="1" ht="12.95" customHeight="1"/>
    <row r="2" ht="18.95" customHeight="1" spans="1:10">
      <c r="B2" s="167" t="s">
        <v>224</v>
      </c>
      <c r="C2" s="167"/>
      <c r="D2" s="167"/>
      <c r="E2" s="167"/>
      <c r="F2" s="168"/>
    </row>
    <row r="3" ht="33" customHeight="1" spans="1:10">
      <c r="A3" s="169"/>
      <c r="B3" s="167"/>
      <c r="C3" s="167"/>
      <c r="D3" s="167"/>
      <c r="E3" s="167"/>
      <c r="F3" s="168"/>
      <c r="G3" s="170" t="s">
        <v>225</v>
      </c>
      <c r="H3" s="171">
        <f ca="1">TODAY()</f>
        <v>46155</v>
      </c>
    </row>
    <row r="4" ht="30" customHeight="1" spans="1:10">
      <c r="A4" s="151"/>
      <c r="B4" s="172"/>
      <c r="C4" s="173"/>
      <c r="D4" s="173"/>
      <c r="E4" s="90"/>
      <c r="F4" s="174"/>
      <c r="G4" s="175" t="s">
        <v>226</v>
      </c>
      <c r="H4" s="176">
        <f>发票!H2</f>
        <v>2026011202</v>
      </c>
    </row>
    <row r="5" ht="29.25" customHeight="1" spans="1:10">
      <c r="A5" s="170" t="s">
        <v>227</v>
      </c>
      <c r="B5" s="177" t="str">
        <f>发票!C3</f>
        <v>HONG KONG YUN QI LIAN TECHNOLOGY LIMITED</v>
      </c>
      <c r="C5" s="177"/>
      <c r="D5" s="177"/>
      <c r="E5" s="177"/>
      <c r="F5" s="177"/>
      <c r="G5" s="175" t="s">
        <v>228</v>
      </c>
      <c r="H5" s="176">
        <f>发票!H2</f>
        <v>2026011202</v>
      </c>
    </row>
    <row r="6" ht="11.1" customHeight="1" spans="1:10">
      <c r="A6" s="178"/>
      <c r="B6" s="179"/>
      <c r="C6" s="179"/>
      <c r="D6" s="179" t="s">
        <v>229</v>
      </c>
      <c r="E6" s="180"/>
      <c r="F6" s="181"/>
      <c r="G6" s="182"/>
      <c r="H6" s="183"/>
      <c r="J6" s="89"/>
    </row>
    <row r="7" ht="31.5" spans="1:10">
      <c r="A7" s="184" t="s">
        <v>230</v>
      </c>
      <c r="B7" s="185"/>
      <c r="C7" s="183"/>
      <c r="D7" s="183" t="s">
        <v>231</v>
      </c>
      <c r="E7" s="180" t="str">
        <f>报关单!M20</f>
        <v>英国</v>
      </c>
      <c r="F7" s="162"/>
      <c r="G7" s="175" t="s">
        <v>232</v>
      </c>
      <c r="H7" s="186" t="str">
        <f>报关单!Y4</f>
        <v>电汇 先出后结</v>
      </c>
      <c r="I7" s="67"/>
    </row>
    <row r="8" ht="3.95" customHeight="1" spans="1:10">
      <c r="A8" s="184"/>
      <c r="B8" s="187"/>
      <c r="C8" s="183"/>
      <c r="D8" s="183"/>
      <c r="E8" s="180"/>
      <c r="F8" s="162"/>
      <c r="G8" s="175"/>
      <c r="H8" s="180"/>
      <c r="I8" s="67"/>
    </row>
    <row r="9" s="67" customFormat="1" ht="30" customHeight="1" spans="1:10">
      <c r="A9" s="188" t="s">
        <v>233</v>
      </c>
      <c r="B9" s="189" t="s">
        <v>234</v>
      </c>
      <c r="C9" s="190" t="s">
        <v>216</v>
      </c>
      <c r="D9" s="190" t="s">
        <v>235</v>
      </c>
      <c r="E9" s="189" t="s">
        <v>236</v>
      </c>
      <c r="F9" s="191"/>
      <c r="G9" s="192" t="s">
        <v>237</v>
      </c>
      <c r="H9" s="189" t="s">
        <v>238</v>
      </c>
    </row>
    <row r="10" s="164" customFormat="1" ht="30" customHeight="1" spans="1:10">
      <c r="A10" s="193">
        <f>发票!A8</f>
        <v>0</v>
      </c>
      <c r="B10" s="194" t="str">
        <f ca="1">发票!C8</f>
        <v>编织表带</v>
      </c>
      <c r="C10" s="195" t="str">
        <f ca="1">发票!D8</f>
        <v>BG-20-01</v>
      </c>
      <c r="D10" s="195">
        <v>2</v>
      </c>
      <c r="E10" s="196">
        <f ca="1">发票!E8</f>
        <v>240</v>
      </c>
      <c r="F10" s="197" t="str">
        <f ca="1">发票!F8</f>
        <v>条</v>
      </c>
      <c r="G10" s="198">
        <f ca="1">OFFSET(报关单!$U$1,ROW(报关单!U1)*3+16,0)</f>
        <v>6</v>
      </c>
      <c r="H10" s="195">
        <f ca="1">OFFSET(报关单!$T$1,ROW(报关单!T1)*3+16,0)</f>
        <v>6</v>
      </c>
      <c r="I10" s="199"/>
    </row>
    <row r="11" s="164" customFormat="1" ht="30" customHeight="1" spans="1:10">
      <c r="A11" s="193"/>
      <c r="B11" s="194" t="str">
        <f ca="1">发票!C9</f>
        <v>编织表带</v>
      </c>
      <c r="C11" s="195" t="str">
        <f ca="1">发票!D9</f>
        <v>BSX1-22-01</v>
      </c>
      <c r="D11" s="195"/>
      <c r="E11" s="196">
        <f ca="1">发票!E9</f>
        <v>60</v>
      </c>
      <c r="F11" s="197" t="str">
        <f ca="1">发票!F9</f>
        <v>条</v>
      </c>
      <c r="G11" s="198">
        <f ca="1">OFFSET(报关单!$U$1,ROW(报关单!U2)*3+16,0)</f>
        <v>1.5</v>
      </c>
      <c r="H11" s="195">
        <f ca="1">OFFSET(报关单!$T$1,ROW(报关单!T2)*3+16,0)</f>
        <v>1.5</v>
      </c>
      <c r="I11" s="199"/>
    </row>
    <row r="12" s="164" customFormat="1" ht="30" customHeight="1" spans="1:10">
      <c r="A12" s="193"/>
      <c r="B12" s="194" t="str">
        <f ca="1">发票!C10</f>
        <v>编织表带</v>
      </c>
      <c r="C12" s="195" t="str">
        <f ca="1">发票!D10</f>
        <v>PG1-45-01</v>
      </c>
      <c r="D12" s="195"/>
      <c r="E12" s="196">
        <f ca="1">发票!E10</f>
        <v>155</v>
      </c>
      <c r="F12" s="197" t="str">
        <f ca="1">发票!F10</f>
        <v>条</v>
      </c>
      <c r="G12" s="198">
        <f ca="1">OFFSET(报关单!$U$1,ROW(报关单!U3)*3+16,0)</f>
        <v>4</v>
      </c>
      <c r="H12" s="195">
        <f ca="1">OFFSET(报关单!$T$1,ROW(报关单!T3)*3+16,0)</f>
        <v>4</v>
      </c>
      <c r="I12" s="199"/>
    </row>
    <row r="13" s="164" customFormat="1" ht="30" customHeight="1" spans="1:10">
      <c r="A13" s="193"/>
      <c r="B13" s="194" t="str">
        <f ca="1">发票!C11</f>
        <v>编织表带</v>
      </c>
      <c r="C13" s="195" t="str">
        <f ca="1">发票!D11</f>
        <v>QB-16</v>
      </c>
      <c r="D13" s="195">
        <f ca="1">OFFSET(报关单!$V$1,ROW(报关单!V4)*3+16,0)</f>
        <v>0</v>
      </c>
      <c r="E13" s="196">
        <f ca="1">发票!E11</f>
        <v>310</v>
      </c>
      <c r="F13" s="197" t="str">
        <f ca="1">发票!F11</f>
        <v>条</v>
      </c>
      <c r="G13" s="198">
        <f ca="1">OFFSET(报关单!$U$1,ROW(报关单!U4)*3+16,0)</f>
        <v>7.8</v>
      </c>
      <c r="H13" s="195">
        <f ca="1">OFFSET(报关单!$T$1,ROW(报关单!T4)*3+16,0)</f>
        <v>7</v>
      </c>
      <c r="I13" s="199"/>
    </row>
    <row r="14" s="164" customFormat="1" ht="30" customHeight="1" spans="1:10">
      <c r="A14" s="193"/>
      <c r="B14" s="194" t="str">
        <f ca="1">发票!C12</f>
        <v>编织表带</v>
      </c>
      <c r="C14" s="195" t="str">
        <f ca="1">发票!D12</f>
        <v>SX1-22-01</v>
      </c>
      <c r="D14" s="195">
        <f ca="1">OFFSET(报关单!$V$1,ROW(报关单!V5)*3+16,0)</f>
        <v>0</v>
      </c>
      <c r="E14" s="196">
        <f ca="1">发票!E12</f>
        <v>190</v>
      </c>
      <c r="F14" s="197" t="str">
        <f ca="1">发票!F12</f>
        <v>条</v>
      </c>
      <c r="G14" s="198">
        <f ca="1">OFFSET(报关单!$U$1,ROW(报关单!U5)*3+16,0)</f>
        <v>5</v>
      </c>
      <c r="H14" s="195">
        <f ca="1">OFFSET(报关单!$T$1,ROW(报关单!T5)*3+16,0)</f>
        <v>4</v>
      </c>
      <c r="I14" s="199"/>
    </row>
    <row r="15" s="164" customFormat="1" ht="30" customHeight="1" spans="1:10">
      <c r="A15" s="193"/>
      <c r="B15" s="194" t="str">
        <f ca="1">发票!C13</f>
        <v>编织表带</v>
      </c>
      <c r="C15" s="195" t="str">
        <f ca="1">发票!D13</f>
        <v>SX2-22-01</v>
      </c>
      <c r="D15" s="195">
        <f ca="1">OFFSET(报关单!$V$1,ROW(报关单!V6)*3+16,0)</f>
        <v>0</v>
      </c>
      <c r="E15" s="196">
        <f ca="1">发票!E13</f>
        <v>105</v>
      </c>
      <c r="F15" s="197" t="str">
        <f ca="1">发票!F13</f>
        <v>条</v>
      </c>
      <c r="G15" s="198">
        <f ca="1">OFFSET(报关单!$U$1,ROW(报关单!U6)*3+16,0)</f>
        <v>2.5</v>
      </c>
      <c r="H15" s="195">
        <f ca="1">OFFSET(报关单!$T$1,ROW(报关单!T6)*3+16,0)</f>
        <v>2</v>
      </c>
      <c r="I15" s="199"/>
    </row>
    <row r="16" s="164" customFormat="1" ht="30" customHeight="1" spans="1:10">
      <c r="A16" s="193"/>
      <c r="B16" s="194" t="str">
        <f ca="1">发票!C14</f>
        <v>编织表带</v>
      </c>
      <c r="C16" s="195" t="str">
        <f ca="1">发票!D14</f>
        <v>SX3-22-01</v>
      </c>
      <c r="D16" s="195">
        <f ca="1">OFFSET(报关单!$V$1,ROW(报关单!V7)*3+16,0)</f>
        <v>0</v>
      </c>
      <c r="E16" s="196">
        <f ca="1">发票!E14</f>
        <v>140</v>
      </c>
      <c r="F16" s="197" t="str">
        <f ca="1">发票!F14</f>
        <v>条</v>
      </c>
      <c r="G16" s="198">
        <f ca="1">OFFSET(报关单!$U$1,ROW(报关单!U7)*3+16,0)</f>
        <v>3.5</v>
      </c>
      <c r="H16" s="195">
        <f ca="1">OFFSET(报关单!$T$1,ROW(报关单!T7)*3+16,0)</f>
        <v>3</v>
      </c>
      <c r="I16" s="199"/>
    </row>
    <row r="17" s="164" customFormat="1" ht="30" customHeight="1" spans="1:9">
      <c r="A17" s="193"/>
      <c r="B17" s="194" t="str">
        <f ca="1">发票!C15</f>
        <v>表带</v>
      </c>
      <c r="C17" s="195" t="str">
        <f ca="1">发票!D15</f>
        <v>XY140-L1</v>
      </c>
      <c r="D17" s="195">
        <f ca="1">OFFSET(报关单!$V$1,ROW(报关单!V8)*3+16,0)</f>
        <v>0</v>
      </c>
      <c r="E17" s="196">
        <f ca="1">发票!E15</f>
        <v>20</v>
      </c>
      <c r="F17" s="197" t="str">
        <f ca="1">发票!F15</f>
        <v>条</v>
      </c>
      <c r="G17" s="198">
        <f ca="1">OFFSET(报关单!$U$1,ROW(报关单!U8)*3+16,0)</f>
        <v>0.4</v>
      </c>
      <c r="H17" s="195">
        <f ca="1">OFFSET(报关单!$T$1,ROW(报关单!T8)*3+16,0)</f>
        <v>0.4</v>
      </c>
      <c r="I17" s="199"/>
    </row>
    <row r="18" s="164" customFormat="1" ht="30" customHeight="1" spans="1:9">
      <c r="A18" s="193"/>
      <c r="B18" s="194" t="str">
        <f ca="1">发票!C16</f>
        <v>表带</v>
      </c>
      <c r="C18" s="195" t="str">
        <f ca="1">发票!D16</f>
        <v>XY140-S1</v>
      </c>
      <c r="D18" s="195">
        <f ca="1">OFFSET(报关单!$V$1,ROW(报关单!V9)*3+16,0)</f>
        <v>0</v>
      </c>
      <c r="E18" s="196">
        <f ca="1">发票!E16</f>
        <v>60</v>
      </c>
      <c r="F18" s="197" t="str">
        <f ca="1">发票!F16</f>
        <v>条</v>
      </c>
      <c r="G18" s="198">
        <f ca="1">OFFSET(报关单!$U$1,ROW(报关单!U9)*3+16,0)</f>
        <v>1.5</v>
      </c>
      <c r="H18" s="195">
        <f ca="1">OFFSET(报关单!$T$1,ROW(报关单!T9)*3+16,0)</f>
        <v>1.5</v>
      </c>
      <c r="I18" s="199"/>
    </row>
    <row r="19" s="164" customFormat="1" ht="30" customHeight="1" spans="1:9">
      <c r="A19" s="193"/>
      <c r="B19" s="194" t="str">
        <f ca="1">发票!C17</f>
        <v>表带</v>
      </c>
      <c r="C19" s="195" t="str">
        <f ca="1">发票!D17</f>
        <v>XY37-1</v>
      </c>
      <c r="D19" s="195">
        <f ca="1">OFFSET(报关单!$V$1,ROW(报关单!V10)*3+16,0)</f>
        <v>0</v>
      </c>
      <c r="E19" s="196">
        <f ca="1">发票!E17</f>
        <v>15</v>
      </c>
      <c r="F19" s="197" t="str">
        <f ca="1">发票!F17</f>
        <v>条</v>
      </c>
      <c r="G19" s="198">
        <f ca="1">OFFSET(报关单!$U$1,ROW(报关单!U10)*3+16,0)</f>
        <v>0.4</v>
      </c>
      <c r="H19" s="195">
        <f ca="1">OFFSET(报关单!$T$1,ROW(报关单!T10)*3+16,0)</f>
        <v>0.4</v>
      </c>
      <c r="I19" s="199"/>
    </row>
    <row r="20" s="164" customFormat="1" ht="30" customHeight="1" spans="1:9">
      <c r="A20" s="193"/>
      <c r="B20" s="194" t="str">
        <f ca="1">发票!C18</f>
        <v>表带</v>
      </c>
      <c r="C20" s="195" t="str">
        <f ca="1">发票!D18</f>
        <v>XY37-3</v>
      </c>
      <c r="D20" s="195">
        <f ca="1">OFFSET(报关单!$V$1,ROW(报关单!V11)*3+16,0)</f>
        <v>0</v>
      </c>
      <c r="E20" s="196">
        <f ca="1">发票!E18</f>
        <v>15</v>
      </c>
      <c r="F20" s="197" t="str">
        <f ca="1">发票!F18</f>
        <v>条</v>
      </c>
      <c r="G20" s="198">
        <f ca="1">OFFSET(报关单!$U$1,ROW(报关单!U11)*3+16,0)</f>
        <v>0.4</v>
      </c>
      <c r="H20" s="195">
        <f ca="1">OFFSET(报关单!$T$1,ROW(报关单!T11)*3+16,0)</f>
        <v>0.4</v>
      </c>
      <c r="I20" s="199"/>
    </row>
    <row r="21" s="164" customFormat="1" ht="30" customHeight="1" spans="1:9">
      <c r="A21" s="193"/>
      <c r="B21" s="194" t="str">
        <f ca="1">发票!C19</f>
        <v>硅胶表带</v>
      </c>
      <c r="C21" s="195" t="str">
        <f ca="1">发票!D19</f>
        <v>ZF-3</v>
      </c>
      <c r="D21" s="195">
        <f ca="1">OFFSET(报关单!$V$1,ROW(报关单!V12)*3+16,0)</f>
        <v>0</v>
      </c>
      <c r="E21" s="196">
        <f ca="1">发票!E19</f>
        <v>100</v>
      </c>
      <c r="F21" s="197" t="str">
        <f ca="1">发票!F19</f>
        <v>条</v>
      </c>
      <c r="G21" s="198">
        <f ca="1">OFFSET(报关单!$U$1,ROW(报关单!U12)*3+16,0)</f>
        <v>2.5</v>
      </c>
      <c r="H21" s="195">
        <f ca="1">OFFSET(报关单!$T$1,ROW(报关单!T12)*3+16,0)</f>
        <v>2</v>
      </c>
      <c r="I21" s="199"/>
    </row>
    <row r="22" s="164" customFormat="1" ht="30" customHeight="1" spans="1:9">
      <c r="A22" s="193"/>
      <c r="B22" s="194" t="str">
        <f ca="1">发票!C20</f>
        <v>手表表带</v>
      </c>
      <c r="C22" s="195" t="str">
        <f ca="1">发票!D20</f>
        <v>ZY2-3</v>
      </c>
      <c r="D22" s="195">
        <f ca="1">OFFSET(报关单!$V$1,ROW(报关单!V13)*3+16,0)</f>
        <v>0</v>
      </c>
      <c r="E22" s="196">
        <f ca="1">发票!E20</f>
        <v>5</v>
      </c>
      <c r="F22" s="197" t="str">
        <f ca="1">发票!F20</f>
        <v>条</v>
      </c>
      <c r="G22" s="198">
        <f ca="1">OFFSET(报关单!$U$1,ROW(报关单!T13)*3+16,0)</f>
        <v>0.1</v>
      </c>
      <c r="H22" s="195">
        <f ca="1">OFFSET(报关单!$T$1,ROW(报关单!T13)*3+16,0)</f>
        <v>0.1</v>
      </c>
      <c r="I22" s="199"/>
    </row>
    <row r="23" s="164" customFormat="1" ht="30" customHeight="1" spans="1:9">
      <c r="A23" s="193"/>
      <c r="B23" s="194" t="str">
        <f ca="1">发票!C21</f>
        <v>手表表带</v>
      </c>
      <c r="C23" s="195" t="str">
        <f ca="1">发票!D21</f>
        <v>ZY2-3</v>
      </c>
      <c r="D23" s="195">
        <f ca="1">OFFSET(报关单!$V$1,ROW(报关单!V14)*3+16,0)</f>
        <v>0</v>
      </c>
      <c r="E23" s="196">
        <f ca="1">发票!E21</f>
        <v>5</v>
      </c>
      <c r="F23" s="197" t="str">
        <f ca="1">发票!F21</f>
        <v>条</v>
      </c>
      <c r="G23" s="198">
        <f ca="1">OFFSET(报关单!$U$1,ROW(报关单!T14)*3+16,0)</f>
        <v>0.1</v>
      </c>
      <c r="H23" s="195">
        <f ca="1">OFFSET(报关单!$T$1,ROW(报关单!T14)*3+16,0)</f>
        <v>0.1</v>
      </c>
      <c r="I23" s="199"/>
    </row>
    <row r="24" s="164" customFormat="1" ht="30" customHeight="1" spans="1:9">
      <c r="A24" s="193"/>
      <c r="B24" s="194" t="str">
        <f ca="1">发票!C22</f>
        <v>手表表带</v>
      </c>
      <c r="C24" s="195" t="str">
        <f ca="1">发票!D22</f>
        <v>ZY2-3</v>
      </c>
      <c r="D24" s="195">
        <f ca="1">OFFSET(报关单!$V$1,ROW(报关单!V15)*3+16,0)</f>
        <v>0</v>
      </c>
      <c r="E24" s="196">
        <f ca="1">发票!E22</f>
        <v>5</v>
      </c>
      <c r="F24" s="197" t="str">
        <f ca="1">发票!F22</f>
        <v>条</v>
      </c>
      <c r="G24" s="198">
        <f ca="1">OFFSET(报关单!$U$1,ROW(报关单!T15)*3+16,0)</f>
        <v>0.1</v>
      </c>
      <c r="H24" s="195">
        <f ca="1">OFFSET(报关单!$T$1,ROW(报关单!T15)*3+16,0)</f>
        <v>0.1</v>
      </c>
      <c r="I24" s="199"/>
    </row>
    <row r="25" ht="30" customHeight="1" spans="1:9">
      <c r="A25" s="200"/>
      <c r="B25" s="194" t="str">
        <f ca="1">发票!C23</f>
        <v>手表表带</v>
      </c>
      <c r="C25" s="195" t="str">
        <f ca="1">发票!D23</f>
        <v>ZY2-3</v>
      </c>
      <c r="D25" s="195">
        <f ca="1">OFFSET(报关单!$V$1,ROW(报关单!V16)*3+16,0)</f>
        <v>0</v>
      </c>
      <c r="E25" s="196">
        <f ca="1">发票!E23</f>
        <v>5</v>
      </c>
      <c r="F25" s="197" t="str">
        <f ca="1">发票!F23</f>
        <v>条</v>
      </c>
      <c r="G25" s="198">
        <f ca="1">OFFSET(报关单!$U$1,ROW(报关单!T16)*3+16,0)</f>
        <v>0.1</v>
      </c>
      <c r="H25" s="195">
        <f ca="1">OFFSET(报关单!$T$1,ROW(报关单!T16)*3+16,0)</f>
        <v>0.1</v>
      </c>
      <c r="I25" s="67"/>
    </row>
    <row r="26" s="68" customFormat="1" ht="29.1" customHeight="1" spans="1:9">
      <c r="A26" s="201"/>
      <c r="B26" s="194" t="str">
        <f ca="1">发票!C24</f>
        <v>手表表带</v>
      </c>
      <c r="C26" s="195" t="str">
        <f ca="1">发票!D24</f>
        <v>ZY2-3</v>
      </c>
      <c r="D26" s="195">
        <f ca="1">OFFSET(报关单!$V$1,ROW(报关单!V17)*3+16,0)</f>
        <v>0</v>
      </c>
      <c r="E26" s="196">
        <f ca="1">发票!E24</f>
        <v>5</v>
      </c>
      <c r="F26" s="197" t="str">
        <f ca="1">发票!F24</f>
        <v>条</v>
      </c>
      <c r="G26" s="198">
        <f ca="1">OFFSET(报关单!$U$1,ROW(报关单!T17)*3+16,0)</f>
        <v>0.1</v>
      </c>
      <c r="H26" s="195">
        <f ca="1">OFFSET(报关单!$T$1,ROW(报关单!T17)*3+16,0)</f>
        <v>0.1</v>
      </c>
      <c r="I26" s="67"/>
    </row>
    <row r="27" s="68" customFormat="1" ht="29.1" customHeight="1" spans="1:9">
      <c r="A27" s="201"/>
      <c r="B27" s="194" t="str">
        <f ca="1">发票!C25</f>
        <v>手表表带</v>
      </c>
      <c r="C27" s="195" t="str">
        <f ca="1">发票!D25</f>
        <v>ZY2-3</v>
      </c>
      <c r="D27" s="195">
        <f ca="1">OFFSET(报关单!$V$1,ROW(报关单!V18)*3+16,0)</f>
        <v>0</v>
      </c>
      <c r="E27" s="196">
        <f ca="1">发票!E25</f>
        <v>5</v>
      </c>
      <c r="F27" s="197" t="str">
        <f ca="1">发票!F25</f>
        <v>条</v>
      </c>
      <c r="G27" s="198">
        <f ca="1">OFFSET(报关单!$U$1,ROW(报关单!T18)*3+16,0)</f>
        <v>0.1</v>
      </c>
      <c r="H27" s="195">
        <f ca="1">OFFSET(报关单!$T$1,ROW(报关单!T18)*3+16,0)</f>
        <v>0.1</v>
      </c>
      <c r="I27" s="67"/>
    </row>
    <row r="28" s="68" customFormat="1" ht="29.1" customHeight="1" spans="1:9">
      <c r="A28" s="201"/>
      <c r="B28" s="194" t="str">
        <f ca="1">发票!C26</f>
        <v>手表表带</v>
      </c>
      <c r="C28" s="195" t="str">
        <f ca="1">发票!D26</f>
        <v>ZY2-3</v>
      </c>
      <c r="D28" s="195">
        <f ca="1">OFFSET(报关单!$V$1,ROW(报关单!V19)*3+16,0)</f>
        <v>0</v>
      </c>
      <c r="E28" s="196">
        <f ca="1">发票!E26</f>
        <v>5</v>
      </c>
      <c r="F28" s="197" t="str">
        <f ca="1">发票!F26</f>
        <v>条</v>
      </c>
      <c r="G28" s="198">
        <f ca="1">OFFSET(报关单!$U$1,ROW(报关单!T19)*3+16,0)</f>
        <v>0.1</v>
      </c>
      <c r="H28" s="195">
        <f ca="1">OFFSET(报关单!$T$1,ROW(报关单!T19)*3+16,0)</f>
        <v>0.1</v>
      </c>
      <c r="I28" s="67"/>
    </row>
    <row r="29" s="68" customFormat="1" ht="29.1" customHeight="1" spans="1:9">
      <c r="A29" s="201"/>
      <c r="B29" s="194" t="str">
        <f ca="1">发票!C27</f>
        <v>手表表带</v>
      </c>
      <c r="C29" s="195" t="str">
        <f ca="1">发票!D27</f>
        <v>ZY2-3</v>
      </c>
      <c r="D29" s="195">
        <f ca="1">OFFSET(报关单!$V$1,ROW(报关单!V20)*3+16,0)</f>
        <v>0</v>
      </c>
      <c r="E29" s="196">
        <f ca="1">发票!E27</f>
        <v>5</v>
      </c>
      <c r="F29" s="197" t="str">
        <f ca="1">发票!F27</f>
        <v>条</v>
      </c>
      <c r="G29" s="198">
        <f ca="1">OFFSET(报关单!$U$1,ROW(报关单!T20)*3+16,0)</f>
        <v>0.1</v>
      </c>
      <c r="H29" s="195">
        <f ca="1">OFFSET(报关单!$T$1,ROW(报关单!T20)*3+16,0)</f>
        <v>0.1</v>
      </c>
      <c r="I29" s="67"/>
    </row>
    <row r="30" s="68" customFormat="1" ht="29.1" customHeight="1" spans="1:9">
      <c r="A30" s="201"/>
      <c r="B30" s="194" t="str">
        <f ca="1">发票!C28</f>
        <v>手表表带</v>
      </c>
      <c r="C30" s="195" t="str">
        <f ca="1">发票!D28</f>
        <v>ZY2-3</v>
      </c>
      <c r="D30" s="195">
        <f ca="1">OFFSET(报关单!$V$1,ROW(报关单!V21)*3+16,0)</f>
        <v>0</v>
      </c>
      <c r="E30" s="196">
        <f ca="1">发票!E28</f>
        <v>5</v>
      </c>
      <c r="F30" s="197" t="str">
        <f ca="1">发票!F28</f>
        <v>条</v>
      </c>
      <c r="G30" s="198">
        <f ca="1">OFFSET(报关单!$U$1,ROW(报关单!T21)*3+16,0)</f>
        <v>0.1</v>
      </c>
      <c r="H30" s="195">
        <f ca="1">OFFSET(报关单!$T$1,ROW(报关单!T21)*3+16,0)</f>
        <v>0.1</v>
      </c>
      <c r="I30" s="67"/>
    </row>
    <row r="31" s="68" customFormat="1" ht="29.1" customHeight="1" spans="1:9">
      <c r="A31" s="201"/>
      <c r="B31" s="194" t="str">
        <f ca="1">发票!C29</f>
        <v>手表表带</v>
      </c>
      <c r="C31" s="195" t="str">
        <f ca="1">发票!D29</f>
        <v>ZY2-3</v>
      </c>
      <c r="D31" s="195">
        <f ca="1">OFFSET(报关单!$V$1,ROW(报关单!V22)*3+16,0)</f>
        <v>0</v>
      </c>
      <c r="E31" s="196">
        <f ca="1">发票!E29</f>
        <v>5</v>
      </c>
      <c r="F31" s="197" t="str">
        <f ca="1">发票!F29</f>
        <v>条</v>
      </c>
      <c r="G31" s="198">
        <f ca="1">OFFSET(报关单!$U$1,ROW(报关单!T22)*3+16,0)</f>
        <v>0.1</v>
      </c>
      <c r="H31" s="195">
        <f ca="1">OFFSET(报关单!$T$1,ROW(报关单!T22)*3+16,0)</f>
        <v>0.1</v>
      </c>
      <c r="I31" s="67"/>
    </row>
    <row r="32" s="68" customFormat="1" ht="29.1" customHeight="1" spans="1:9">
      <c r="A32" s="201"/>
      <c r="B32" s="194" t="str">
        <f ca="1">发票!C30</f>
        <v>手表表带</v>
      </c>
      <c r="C32" s="195" t="str">
        <f ca="1">发票!D30</f>
        <v>ZY2-3</v>
      </c>
      <c r="D32" s="195">
        <f ca="1">OFFSET(报关单!$V$1,ROW(报关单!V23)*3+16,0)</f>
        <v>0</v>
      </c>
      <c r="E32" s="196">
        <f ca="1">发票!E30</f>
        <v>5</v>
      </c>
      <c r="F32" s="197" t="str">
        <f ca="1">发票!F30</f>
        <v>条</v>
      </c>
      <c r="G32" s="198">
        <f ca="1">OFFSET(报关单!$U$1,ROW(报关单!T23)*3+16,0)</f>
        <v>0.1</v>
      </c>
      <c r="H32" s="195">
        <f ca="1">OFFSET(报关单!$T$1,ROW(报关单!T23)*3+16,0)</f>
        <v>0.1</v>
      </c>
      <c r="I32" s="67"/>
    </row>
    <row r="33" s="68" customFormat="1" ht="29.1" customHeight="1" spans="1:9">
      <c r="A33" s="201"/>
      <c r="B33" s="194" t="str">
        <f ca="1">发票!C31</f>
        <v>手表表带</v>
      </c>
      <c r="C33" s="195" t="str">
        <f ca="1">发票!D31</f>
        <v>ZY2-3</v>
      </c>
      <c r="D33" s="195">
        <f ca="1">OFFSET(报关单!$V$1,ROW(报关单!V24)*3+16,0)</f>
        <v>0</v>
      </c>
      <c r="E33" s="196">
        <f ca="1">发票!E31</f>
        <v>5</v>
      </c>
      <c r="F33" s="197" t="str">
        <f ca="1">发票!F31</f>
        <v>条</v>
      </c>
      <c r="G33" s="198">
        <f ca="1">OFFSET(报关单!$U$1,ROW(报关单!T24)*3+16,0)</f>
        <v>0.1</v>
      </c>
      <c r="H33" s="195">
        <f ca="1">OFFSET(报关单!$T$1,ROW(报关单!T24)*3+16,0)</f>
        <v>0.1</v>
      </c>
      <c r="I33" s="67"/>
    </row>
    <row r="34" s="68" customFormat="1" ht="29.1" customHeight="1" spans="1:9">
      <c r="A34" s="201"/>
      <c r="B34" s="194" t="str">
        <f ca="1">发票!C32</f>
        <v>手表表带</v>
      </c>
      <c r="C34" s="195" t="str">
        <f ca="1">发票!D32</f>
        <v>ZY2-3</v>
      </c>
      <c r="D34" s="195">
        <f ca="1">OFFSET(报关单!$V$1,ROW(报关单!V25)*3+16,0)</f>
        <v>0</v>
      </c>
      <c r="E34" s="196">
        <f ca="1">发票!E32</f>
        <v>5</v>
      </c>
      <c r="F34" s="197" t="str">
        <f ca="1">发票!F32</f>
        <v>条</v>
      </c>
      <c r="G34" s="198">
        <f ca="1">OFFSET(报关单!$U$1,ROW(报关单!T25)*3+16,0)</f>
        <v>0.1</v>
      </c>
      <c r="H34" s="195">
        <f ca="1">OFFSET(报关单!$T$1,ROW(报关单!T25)*3+16,0)</f>
        <v>0.1</v>
      </c>
      <c r="I34" s="67"/>
    </row>
    <row r="35" s="68" customFormat="1" ht="29.1" customHeight="1" spans="1:9">
      <c r="A35" s="201"/>
      <c r="B35" s="194" t="str">
        <f ca="1">发票!C33</f>
        <v>手表表带</v>
      </c>
      <c r="C35" s="195" t="str">
        <f ca="1">发票!D33</f>
        <v>ZY2-3</v>
      </c>
      <c r="D35" s="195">
        <f ca="1">OFFSET(报关单!$V$1,ROW(报关单!V26)*3+16,0)</f>
        <v>0</v>
      </c>
      <c r="E35" s="196">
        <f ca="1">发票!E33</f>
        <v>5</v>
      </c>
      <c r="F35" s="197" t="str">
        <f ca="1">发票!F33</f>
        <v>条</v>
      </c>
      <c r="G35" s="198">
        <f ca="1">OFFSET(报关单!$U$1,ROW(报关单!T26)*3+16,0)</f>
        <v>0.1</v>
      </c>
      <c r="H35" s="195">
        <f ca="1">OFFSET(报关单!$T$1,ROW(报关单!T26)*3+16,0)</f>
        <v>0.1</v>
      </c>
      <c r="I35" s="67"/>
    </row>
    <row r="36" s="68" customFormat="1" ht="29.1" customHeight="1" spans="1:9">
      <c r="A36" s="201"/>
      <c r="B36" s="194" t="str">
        <f ca="1">发票!C34</f>
        <v>手表表带</v>
      </c>
      <c r="C36" s="195" t="str">
        <f ca="1">发票!D34</f>
        <v>ZY2-3</v>
      </c>
      <c r="D36" s="195">
        <f ca="1">OFFSET(报关单!$V$1,ROW(报关单!V27)*3+16,0)</f>
        <v>0</v>
      </c>
      <c r="E36" s="196">
        <f ca="1">发票!E34</f>
        <v>5</v>
      </c>
      <c r="F36" s="197" t="str">
        <f ca="1">发票!F34</f>
        <v>条</v>
      </c>
      <c r="G36" s="198">
        <f ca="1">OFFSET(报关单!$U$1,ROW(报关单!T27)*3+16,0)</f>
        <v>0.1</v>
      </c>
      <c r="H36" s="195">
        <f ca="1">OFFSET(报关单!$T$1,ROW(报关单!T27)*3+16,0)</f>
        <v>0.1</v>
      </c>
      <c r="I36" s="67"/>
    </row>
    <row r="37" s="68" customFormat="1" ht="29.1" customHeight="1" spans="1:9">
      <c r="A37" s="201"/>
      <c r="B37" s="194" t="str">
        <f ca="1">发票!C35</f>
        <v>手表表带</v>
      </c>
      <c r="C37" s="195" t="str">
        <f ca="1">发票!D35</f>
        <v>ZY2-3</v>
      </c>
      <c r="D37" s="195">
        <f ca="1">OFFSET(报关单!$V$1,ROW(报关单!V28)*3+16,0)</f>
        <v>0</v>
      </c>
      <c r="E37" s="196">
        <f ca="1">发票!E35</f>
        <v>5</v>
      </c>
      <c r="F37" s="197" t="str">
        <f ca="1">发票!F35</f>
        <v>条</v>
      </c>
      <c r="G37" s="198">
        <f ca="1">OFFSET(报关单!$U$1,ROW(报关单!T28)*3+16,0)</f>
        <v>0.1</v>
      </c>
      <c r="H37" s="195">
        <f ca="1">OFFSET(报关单!$T$1,ROW(报关单!T28)*3+16,0)</f>
        <v>0.1</v>
      </c>
      <c r="I37" s="67"/>
    </row>
    <row r="38" s="68" customFormat="1" ht="29.1" customHeight="1" spans="1:9">
      <c r="A38" s="201"/>
      <c r="B38" s="194" t="str">
        <f ca="1">发票!C36</f>
        <v>手表表带</v>
      </c>
      <c r="C38" s="195" t="str">
        <f ca="1">发票!D36</f>
        <v>ZY2-3</v>
      </c>
      <c r="D38" s="195">
        <f ca="1">OFFSET(报关单!$V$1,ROW(报关单!V29)*3+16,0)</f>
        <v>0</v>
      </c>
      <c r="E38" s="196">
        <f ca="1">发票!E36</f>
        <v>5</v>
      </c>
      <c r="F38" s="197" t="str">
        <f ca="1">发票!F36</f>
        <v>条</v>
      </c>
      <c r="G38" s="198">
        <f ca="1">OFFSET(报关单!$U$1,ROW(报关单!T29)*3+16,0)</f>
        <v>0.1</v>
      </c>
      <c r="H38" s="195">
        <f ca="1">OFFSET(报关单!$T$1,ROW(报关单!T29)*3+16,0)</f>
        <v>0.1</v>
      </c>
      <c r="I38" s="67"/>
    </row>
    <row r="39" s="68" customFormat="1" ht="29.1" customHeight="1" spans="1:9">
      <c r="A39" s="201"/>
      <c r="B39" s="194" t="str">
        <f ca="1">发票!C37</f>
        <v>手表表带</v>
      </c>
      <c r="C39" s="195" t="str">
        <f ca="1">发票!D37</f>
        <v>ZY2-3</v>
      </c>
      <c r="D39" s="195">
        <f ca="1">OFFSET(报关单!$V$1,ROW(报关单!V30)*3+16,0)</f>
        <v>0</v>
      </c>
      <c r="E39" s="196">
        <f ca="1">发票!E37</f>
        <v>5</v>
      </c>
      <c r="F39" s="197" t="str">
        <f ca="1">发票!F37</f>
        <v>条</v>
      </c>
      <c r="G39" s="198">
        <f ca="1">OFFSET(报关单!$U$1,ROW(报关单!T30)*3+16,0)</f>
        <v>0.1</v>
      </c>
      <c r="H39" s="195">
        <f ca="1">OFFSET(报关单!$T$1,ROW(报关单!T30)*3+16,0)</f>
        <v>0.1</v>
      </c>
      <c r="I39" s="67"/>
    </row>
    <row r="40" s="68" customFormat="1" ht="29.1" customHeight="1" spans="1:9">
      <c r="A40" s="201"/>
      <c r="B40" s="194" t="str">
        <f ca="1">发票!C38</f>
        <v>手表表带</v>
      </c>
      <c r="C40" s="195" t="str">
        <f ca="1">发票!D38</f>
        <v>ZY2-3</v>
      </c>
      <c r="D40" s="195">
        <f ca="1">OFFSET(报关单!$V$1,ROW(报关单!V31)*3+16,0)</f>
        <v>0</v>
      </c>
      <c r="E40" s="196">
        <f ca="1">发票!E38</f>
        <v>5</v>
      </c>
      <c r="F40" s="197" t="str">
        <f ca="1">发票!F38</f>
        <v>条</v>
      </c>
      <c r="G40" s="198">
        <f ca="1">OFFSET(报关单!$U$1,ROW(报关单!T31)*3+16,0)</f>
        <v>0.1</v>
      </c>
      <c r="H40" s="195">
        <f ca="1">OFFSET(报关单!$T$1,ROW(报关单!T31)*3+16,0)</f>
        <v>0.1</v>
      </c>
      <c r="I40" s="67"/>
    </row>
    <row r="41" s="67" customFormat="1" ht="29.1" customHeight="1" spans="1:9">
      <c r="A41" s="202" t="s">
        <v>239</v>
      </c>
      <c r="B41" s="203"/>
      <c r="C41" s="195"/>
      <c r="D41" s="204">
        <f ca="1">SUM(D10:D25)</f>
        <v>2</v>
      </c>
      <c r="E41" s="205"/>
      <c r="F41" s="206"/>
      <c r="G41" s="207">
        <f ca="1">SUM(G10:G40)</f>
        <v>37.4</v>
      </c>
      <c r="H41" s="204">
        <f ca="1">SUM(H10:H40)</f>
        <v>34.1</v>
      </c>
    </row>
    <row r="42" ht="18.95" customHeight="1" spans="1:9">
      <c r="A42" s="208" t="s">
        <v>222</v>
      </c>
      <c r="B42" s="162"/>
      <c r="C42" s="195"/>
      <c r="D42" s="162"/>
      <c r="E42" s="161"/>
      <c r="F42" s="162"/>
      <c r="G42" s="162"/>
      <c r="H42" s="162"/>
      <c r="I42" s="67"/>
    </row>
    <row r="43" ht="18.95" customHeight="1" spans="1:9">
      <c r="A43" s="208"/>
      <c r="B43" s="162"/>
      <c r="C43" s="195"/>
      <c r="D43" s="162"/>
      <c r="E43" s="161"/>
      <c r="F43" s="162"/>
      <c r="G43" s="162"/>
      <c r="H43" s="162"/>
      <c r="I43" s="67"/>
    </row>
    <row r="44" spans="1:9">
      <c r="A44" s="164"/>
      <c r="B44" s="164"/>
      <c r="C44" s="164"/>
      <c r="D44" s="164"/>
      <c r="E44" s="161"/>
      <c r="F44" s="163"/>
      <c r="G44" s="164"/>
      <c r="H44" s="164"/>
      <c r="I44" s="67"/>
    </row>
    <row r="45" spans="1:9">
      <c r="A45" s="164"/>
      <c r="B45" s="164"/>
      <c r="C45" s="164"/>
      <c r="D45" s="164"/>
      <c r="E45" s="74"/>
      <c r="F45" s="163"/>
      <c r="G45" s="164"/>
      <c r="H45" s="164"/>
      <c r="I45" s="67"/>
    </row>
    <row r="46" spans="1:9">
      <c r="A46" s="164"/>
      <c r="B46" s="164"/>
      <c r="C46" s="164"/>
      <c r="D46" s="164"/>
      <c r="E46" s="74"/>
      <c r="F46" s="163"/>
      <c r="G46" s="164"/>
      <c r="H46" s="164"/>
      <c r="I46" s="67"/>
    </row>
    <row r="47" spans="1:9">
      <c r="A47" s="164"/>
      <c r="B47" s="164"/>
      <c r="C47" s="164"/>
      <c r="D47" s="164"/>
      <c r="E47" s="74"/>
      <c r="F47" s="163"/>
      <c r="G47" s="164"/>
      <c r="H47" s="164"/>
    </row>
    <row r="48" spans="1:9">
      <c r="A48" s="164"/>
      <c r="B48" s="164"/>
      <c r="C48" s="164"/>
      <c r="D48" s="164"/>
      <c r="E48" s="74"/>
      <c r="F48" s="163"/>
      <c r="G48" s="164"/>
      <c r="H48" s="164"/>
    </row>
    <row r="49" spans="1:8">
      <c r="A49" s="164"/>
      <c r="B49" s="164"/>
      <c r="C49" s="164"/>
      <c r="D49" s="164"/>
      <c r="E49" s="74"/>
      <c r="F49" s="163"/>
      <c r="G49" s="164"/>
      <c r="H49" s="164"/>
    </row>
    <row r="50" spans="1:8">
      <c r="A50" s="164"/>
      <c r="B50" s="164"/>
      <c r="C50" s="164"/>
      <c r="D50" s="164"/>
      <c r="E50" s="74"/>
      <c r="F50" s="163"/>
      <c r="G50" s="164"/>
      <c r="H50" s="164"/>
    </row>
    <row r="51" spans="1:8">
      <c r="A51" s="164"/>
      <c r="B51" s="164"/>
      <c r="C51" s="164"/>
      <c r="D51" s="164"/>
      <c r="E51" s="74"/>
      <c r="F51" s="163"/>
      <c r="G51" s="164"/>
      <c r="H51" s="164"/>
    </row>
    <row r="52" spans="1:8">
      <c r="A52" s="164"/>
      <c r="B52" s="164"/>
      <c r="C52" s="164"/>
      <c r="D52" s="164"/>
      <c r="E52" s="74"/>
      <c r="F52" s="163"/>
      <c r="G52" s="164"/>
      <c r="H52" s="164"/>
    </row>
    <row r="53" spans="1:8">
      <c r="A53" s="164"/>
      <c r="B53" s="164"/>
      <c r="C53" s="164"/>
      <c r="D53" s="164"/>
      <c r="E53" s="74"/>
      <c r="F53" s="163"/>
      <c r="G53" s="164"/>
      <c r="H53" s="164"/>
    </row>
    <row r="54" spans="1:8">
      <c r="A54" s="164"/>
      <c r="B54" s="164"/>
      <c r="C54" s="164"/>
      <c r="D54" s="164"/>
      <c r="E54" s="74"/>
      <c r="F54" s="163"/>
      <c r="G54" s="164"/>
      <c r="H54" s="164"/>
    </row>
  </sheetData>
  <mergeCells count="8">
    <mergeCell ref="B5:F5"/>
    <mergeCell ref="E6:F6"/>
    <mergeCell ref="E7:F7"/>
    <mergeCell ref="E9:F9"/>
    <mergeCell ref="A10:A25"/>
    <mergeCell ref="A42:A43"/>
    <mergeCell ref="D10:D12"/>
    <mergeCell ref="B2:F3"/>
  </mergeCells>
  <pageMargins left="0.2" right="0.16" top="0.24" bottom="0.2" header="0.2" footer="0.08"/>
  <pageSetup paperSize="9" scale="91" orientation="portrait" horizontalDpi="600" verticalDpi="6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77"/>
  <sheetViews>
    <sheetView showZeros="0" tabSelected="1" view="pageBreakPreview" zoomScaleNormal="100" topLeftCell="A10" workbookViewId="0">
      <selection activeCell="G38" sqref="G38"/>
    </sheetView>
  </sheetViews>
  <sheetFormatPr defaultColWidth="9" defaultRowHeight="15.75"/>
  <cols>
    <col min="1" max="1" width="3.5" style="1" customWidth="1"/>
    <col min="2" max="2" width="16.5" style="68" customWidth="1"/>
    <col min="3" max="4" width="14.25" style="68" customWidth="1"/>
    <col min="5" max="5" width="12.5" style="68" customWidth="1"/>
    <col min="6" max="6" width="14" style="68" customWidth="1"/>
    <col min="7" max="7" width="12.875" style="68" customWidth="1"/>
    <col min="8" max="8" width="5.875" style="68" customWidth="1"/>
    <col min="9" max="9" width="11.75" style="68" customWidth="1"/>
    <col min="10" max="11" width="1.5" style="68" customWidth="1"/>
    <col min="12" max="12" width="6.25" style="68" customWidth="1"/>
    <col min="13" max="16" width="9" style="68"/>
    <col min="17" max="17" width="12.625" style="68"/>
    <col min="18" max="16384" width="9" style="68"/>
  </cols>
  <sheetData>
    <row r="1" ht="57" customHeight="1" spans="2:12">
      <c r="B1" s="69" t="s">
        <v>240</v>
      </c>
      <c r="C1" s="70"/>
      <c r="D1" s="70"/>
      <c r="E1" s="70"/>
      <c r="F1" s="70"/>
      <c r="G1" s="70"/>
      <c r="H1" s="70"/>
      <c r="I1" s="70"/>
      <c r="J1" s="70"/>
      <c r="K1" s="70"/>
    </row>
    <row r="2" ht="12" customHeight="1" spans="2:12">
      <c r="B2" s="71" t="s">
        <v>241</v>
      </c>
      <c r="C2" s="72" t="str">
        <f>报关单!V5</f>
        <v>深圳市新棱镜贸易有限公司</v>
      </c>
      <c r="D2" s="72"/>
      <c r="E2" s="72"/>
      <c r="F2" s="72"/>
      <c r="G2" s="73"/>
      <c r="H2" s="71"/>
      <c r="I2" s="74"/>
      <c r="J2" s="74"/>
      <c r="K2" s="74"/>
    </row>
    <row r="3" ht="9.95" customHeight="1" spans="2:12">
      <c r="B3" s="75" t="s">
        <v>242</v>
      </c>
      <c r="C3" s="76"/>
      <c r="D3" s="76"/>
      <c r="E3" s="76"/>
      <c r="F3" s="76"/>
      <c r="G3" s="77"/>
      <c r="H3" s="78"/>
      <c r="I3" s="78"/>
      <c r="J3" s="78"/>
      <c r="K3" s="78"/>
    </row>
    <row r="4" ht="11.1" customHeight="1" spans="2:12">
      <c r="B4" s="79" t="s">
        <v>243</v>
      </c>
      <c r="C4" s="80" t="str">
        <f>报关单!V6</f>
        <v>1702, Block C, Rongchuang Zhihui Building, Longhua District, Shenzhen City, China.</v>
      </c>
      <c r="D4" s="80"/>
      <c r="E4" s="81"/>
      <c r="F4" s="81"/>
      <c r="G4" s="82"/>
      <c r="H4" s="83"/>
      <c r="I4" s="74"/>
      <c r="J4" s="74"/>
      <c r="K4" s="74"/>
    </row>
    <row r="5" ht="15" customHeight="1" spans="2:12">
      <c r="B5" s="79" t="s">
        <v>244</v>
      </c>
      <c r="C5" s="84"/>
      <c r="D5" s="84"/>
      <c r="E5" s="84"/>
      <c r="F5" s="84"/>
      <c r="G5" s="73" t="s">
        <v>245</v>
      </c>
      <c r="H5" s="71"/>
      <c r="I5" s="74"/>
      <c r="J5" s="74"/>
      <c r="K5" s="74"/>
    </row>
    <row r="6" ht="12.95" customHeight="1" spans="2:12">
      <c r="B6" s="79" t="s">
        <v>246</v>
      </c>
      <c r="C6" s="85">
        <f>报关单!V7</f>
        <v>18823202180</v>
      </c>
      <c r="D6" s="86"/>
      <c r="E6" s="87" t="s">
        <v>247</v>
      </c>
      <c r="F6" s="85">
        <f>报关单!Y7</f>
        <v>0</v>
      </c>
      <c r="G6" s="77" t="s">
        <v>248</v>
      </c>
      <c r="H6" s="88">
        <f>报关单!A10</f>
        <v>2026011202</v>
      </c>
      <c r="I6" s="88"/>
      <c r="J6" s="88"/>
      <c r="K6" s="88"/>
      <c r="L6" s="89"/>
    </row>
    <row r="7" ht="12.95" customHeight="1" spans="2:12">
      <c r="B7" s="90" t="s">
        <v>249</v>
      </c>
      <c r="C7" s="91"/>
      <c r="D7" s="91"/>
      <c r="E7" s="92" t="s">
        <v>250</v>
      </c>
      <c r="F7" s="91"/>
      <c r="G7" s="77" t="s">
        <v>251</v>
      </c>
      <c r="H7" s="79"/>
      <c r="I7" s="74"/>
      <c r="J7" s="74"/>
      <c r="K7" s="74"/>
    </row>
    <row r="8" ht="11.1" customHeight="1" spans="2:12">
      <c r="B8" s="93" t="s">
        <v>252</v>
      </c>
      <c r="C8" s="94" t="str">
        <f>报关单!V8</f>
        <v>HONG KONG YUN QI LIAN TECHNOLOGY LIMITED</v>
      </c>
      <c r="D8" s="94"/>
      <c r="E8" s="94"/>
      <c r="F8" s="94"/>
      <c r="G8" s="77" t="s">
        <v>253</v>
      </c>
      <c r="H8" s="95" t="s">
        <v>254</v>
      </c>
      <c r="I8" s="95"/>
      <c r="J8" s="95"/>
      <c r="K8" s="95"/>
    </row>
    <row r="9" ht="13.5" customHeight="1" spans="2:12">
      <c r="B9" s="71" t="s">
        <v>255</v>
      </c>
      <c r="C9" s="96"/>
      <c r="D9" s="96"/>
      <c r="E9" s="96"/>
      <c r="F9" s="96"/>
      <c r="G9" s="97" t="s">
        <v>256</v>
      </c>
      <c r="H9" s="98"/>
      <c r="I9" s="79"/>
      <c r="J9" s="79"/>
      <c r="K9" s="79"/>
    </row>
    <row r="10" ht="16.5" customHeight="1" spans="2:12">
      <c r="B10" s="71" t="s">
        <v>257</v>
      </c>
      <c r="C10" s="94" t="str">
        <f>报关单!V9</f>
        <v>RM 10, 23/F NEW TREND CTR NO704 PRINCE EDWARD RD EAST SANPO KONGHONG KONG</v>
      </c>
      <c r="D10" s="94"/>
      <c r="E10" s="94"/>
      <c r="F10" s="94"/>
      <c r="G10" s="77" t="s">
        <v>258</v>
      </c>
      <c r="H10" s="99" t="str">
        <f>报关单!V3</f>
        <v>深圳</v>
      </c>
      <c r="I10" s="78"/>
      <c r="J10" s="78"/>
      <c r="K10" s="78"/>
    </row>
    <row r="11" ht="13.5" customHeight="1" spans="2:12">
      <c r="B11" s="71" t="s">
        <v>259</v>
      </c>
      <c r="C11" s="96"/>
      <c r="D11" s="96"/>
      <c r="E11" s="96"/>
      <c r="F11" s="96"/>
      <c r="G11" s="100" t="s">
        <v>260</v>
      </c>
      <c r="H11" s="101" t="str">
        <f>报关单!V4</f>
        <v>FOB</v>
      </c>
      <c r="I11" s="102" t="str">
        <f>报关单!W4</f>
        <v>SHENZHEN</v>
      </c>
      <c r="J11" s="102"/>
      <c r="K11" s="102"/>
    </row>
    <row r="12" ht="9.95" customHeight="1" spans="2:12">
      <c r="B12" s="71" t="s">
        <v>261</v>
      </c>
      <c r="C12" s="103">
        <f>报关单!V10</f>
        <v>13071079299</v>
      </c>
      <c r="D12" s="103"/>
      <c r="E12" s="104" t="s">
        <v>262</v>
      </c>
      <c r="F12" s="103">
        <f>报关单!Y10</f>
        <v>0</v>
      </c>
      <c r="G12" s="105"/>
      <c r="H12" s="101"/>
      <c r="I12" s="102"/>
      <c r="J12" s="102"/>
      <c r="K12" s="102"/>
    </row>
    <row r="13" ht="9" customHeight="1" spans="2:12">
      <c r="B13" s="90" t="s">
        <v>263</v>
      </c>
      <c r="C13" s="106"/>
      <c r="D13" s="71"/>
      <c r="E13" s="90" t="s">
        <v>250</v>
      </c>
      <c r="F13" s="106"/>
      <c r="G13" s="107"/>
      <c r="H13" s="107"/>
      <c r="I13" s="74"/>
      <c r="J13" s="74"/>
      <c r="K13" s="74"/>
    </row>
    <row r="14" ht="13.5" customHeight="1" spans="2:12">
      <c r="B14" s="108" t="s">
        <v>264</v>
      </c>
      <c r="C14" s="109"/>
      <c r="D14" s="108"/>
      <c r="E14" s="107"/>
      <c r="F14" s="107"/>
      <c r="G14" s="107"/>
      <c r="H14" s="107"/>
      <c r="I14" s="74"/>
      <c r="J14" s="74"/>
      <c r="K14" s="74"/>
    </row>
    <row r="15" ht="13.5" customHeight="1" spans="2:12">
      <c r="B15" s="110" t="s">
        <v>265</v>
      </c>
      <c r="C15" s="110"/>
      <c r="D15" s="110"/>
      <c r="E15" s="110"/>
      <c r="F15" s="110"/>
      <c r="G15" s="110"/>
      <c r="H15" s="110"/>
      <c r="I15" s="110"/>
      <c r="J15" s="110"/>
      <c r="K15" s="110"/>
    </row>
    <row r="16" s="67" customFormat="1" customHeight="1" spans="2:12">
      <c r="B16" s="111" t="s">
        <v>266</v>
      </c>
      <c r="C16" s="112"/>
      <c r="D16" s="113" t="s">
        <v>267</v>
      </c>
      <c r="E16" s="114" t="s">
        <v>268</v>
      </c>
      <c r="F16" s="114" t="s">
        <v>269</v>
      </c>
      <c r="G16" s="114" t="s">
        <v>270</v>
      </c>
      <c r="H16" s="111" t="s">
        <v>271</v>
      </c>
      <c r="I16" s="115"/>
      <c r="J16" s="115"/>
      <c r="K16" s="112"/>
    </row>
    <row r="17" s="67" customFormat="1" ht="10.5" customHeight="1" spans="2:13">
      <c r="B17" s="116" t="s">
        <v>272</v>
      </c>
      <c r="C17" s="117"/>
      <c r="D17" s="118" t="s">
        <v>273</v>
      </c>
      <c r="E17" s="119" t="s">
        <v>274</v>
      </c>
      <c r="F17" s="119" t="s">
        <v>275</v>
      </c>
      <c r="G17" s="119" t="s">
        <v>276</v>
      </c>
      <c r="H17" s="116" t="s">
        <v>277</v>
      </c>
      <c r="I17" s="106"/>
      <c r="J17" s="106"/>
      <c r="K17" s="117"/>
    </row>
    <row r="18" s="67" customFormat="1" ht="12" customHeight="1" spans="2:13">
      <c r="B18" s="120" t="str">
        <f ca="1">发票!C8</f>
        <v>编织表带</v>
      </c>
      <c r="C18" s="121"/>
      <c r="D18" s="122" t="str">
        <f ca="1">发票!D8</f>
        <v>BG-20-01</v>
      </c>
      <c r="E18" s="123">
        <f ca="1">发票!E8</f>
        <v>240</v>
      </c>
      <c r="F18" s="124" t="str">
        <f ca="1">发票!F8</f>
        <v>条</v>
      </c>
      <c r="G18" s="125">
        <f ca="1">发票!G8</f>
        <v>12</v>
      </c>
      <c r="H18" s="126" t="str">
        <f ca="1">发票!H8</f>
        <v>人民币</v>
      </c>
      <c r="I18" s="127">
        <f ca="1">发票!I8</f>
        <v>2880</v>
      </c>
      <c r="J18" s="127"/>
      <c r="K18" s="128"/>
      <c r="M18" s="129"/>
    </row>
    <row r="19" s="67" customFormat="1" ht="12" customHeight="1" spans="2:13">
      <c r="B19" s="120" t="str">
        <f ca="1">发票!C9</f>
        <v>编织表带</v>
      </c>
      <c r="C19" s="121"/>
      <c r="D19" s="122" t="str">
        <f ca="1">发票!D9</f>
        <v>BSX1-22-01</v>
      </c>
      <c r="E19" s="123">
        <f ca="1">发票!E9</f>
        <v>60</v>
      </c>
      <c r="F19" s="124" t="str">
        <f ca="1">发票!F9</f>
        <v>条</v>
      </c>
      <c r="G19" s="125">
        <f ca="1">发票!G9</f>
        <v>18</v>
      </c>
      <c r="H19" s="126" t="str">
        <f ca="1">发票!H9</f>
        <v>人民币</v>
      </c>
      <c r="I19" s="127">
        <f ca="1">发票!I9</f>
        <v>1080</v>
      </c>
      <c r="J19" s="127"/>
      <c r="K19" s="128"/>
      <c r="M19" s="129"/>
    </row>
    <row r="20" s="67" customFormat="1" ht="12" customHeight="1" spans="2:13">
      <c r="B20" s="120" t="str">
        <f ca="1">发票!C10</f>
        <v>编织表带</v>
      </c>
      <c r="C20" s="121"/>
      <c r="D20" s="122" t="str">
        <f ca="1">发票!D10</f>
        <v>PG1-45-01</v>
      </c>
      <c r="E20" s="123">
        <f ca="1">发票!E10</f>
        <v>155</v>
      </c>
      <c r="F20" s="124" t="str">
        <f ca="1">发票!F10</f>
        <v>条</v>
      </c>
      <c r="G20" s="125">
        <f ca="1">发票!G10</f>
        <v>14</v>
      </c>
      <c r="H20" s="126" t="str">
        <f ca="1">发票!H10</f>
        <v>人民币</v>
      </c>
      <c r="I20" s="127">
        <f ca="1">发票!I10</f>
        <v>2170</v>
      </c>
      <c r="J20" s="127"/>
      <c r="K20" s="128"/>
      <c r="M20" s="129"/>
    </row>
    <row r="21" s="67" customFormat="1" ht="12" customHeight="1" spans="2:13">
      <c r="B21" s="120" t="str">
        <f ca="1">发票!C11</f>
        <v>编织表带</v>
      </c>
      <c r="C21" s="121"/>
      <c r="D21" s="122" t="str">
        <f ca="1">发票!D11</f>
        <v>QB-16</v>
      </c>
      <c r="E21" s="123">
        <f ca="1">发票!E11</f>
        <v>310</v>
      </c>
      <c r="F21" s="124" t="str">
        <f ca="1">发票!F11</f>
        <v>条</v>
      </c>
      <c r="G21" s="125">
        <f ca="1">发票!G11</f>
        <v>15</v>
      </c>
      <c r="H21" s="126" t="str">
        <f ca="1">发票!H11</f>
        <v>人民币</v>
      </c>
      <c r="I21" s="127">
        <f ca="1">发票!I11</f>
        <v>4650</v>
      </c>
      <c r="J21" s="127"/>
      <c r="K21" s="128"/>
      <c r="M21" s="129"/>
    </row>
    <row r="22" s="67" customFormat="1" ht="12" customHeight="1" spans="2:13">
      <c r="B22" s="120" t="str">
        <f ca="1">发票!C12</f>
        <v>编织表带</v>
      </c>
      <c r="C22" s="121"/>
      <c r="D22" s="122" t="str">
        <f ca="1">发票!D12</f>
        <v>SX1-22-01</v>
      </c>
      <c r="E22" s="123">
        <f ca="1">发票!E12</f>
        <v>190</v>
      </c>
      <c r="F22" s="124" t="str">
        <f ca="1">发票!F12</f>
        <v>条</v>
      </c>
      <c r="G22" s="125">
        <f ca="1">发票!G12</f>
        <v>18</v>
      </c>
      <c r="H22" s="126" t="str">
        <f ca="1">发票!H12</f>
        <v>人民币</v>
      </c>
      <c r="I22" s="127">
        <f ca="1">发票!I12</f>
        <v>3420</v>
      </c>
      <c r="J22" s="127"/>
      <c r="K22" s="128"/>
      <c r="M22" s="129"/>
    </row>
    <row r="23" s="67" customFormat="1" ht="12" customHeight="1" spans="2:13">
      <c r="B23" s="120" t="str">
        <f ca="1">发票!C13</f>
        <v>编织表带</v>
      </c>
      <c r="C23" s="121"/>
      <c r="D23" s="122" t="str">
        <f ca="1">发票!D13</f>
        <v>SX2-22-01</v>
      </c>
      <c r="E23" s="123">
        <f ca="1">发票!E13</f>
        <v>105</v>
      </c>
      <c r="F23" s="124" t="str">
        <f ca="1">发票!F13</f>
        <v>条</v>
      </c>
      <c r="G23" s="125">
        <f ca="1">发票!G13</f>
        <v>17</v>
      </c>
      <c r="H23" s="126" t="str">
        <f ca="1">发票!H13</f>
        <v>人民币</v>
      </c>
      <c r="I23" s="127">
        <f ca="1">发票!I13</f>
        <v>1785</v>
      </c>
      <c r="J23" s="127"/>
      <c r="K23" s="128"/>
      <c r="M23" s="129"/>
    </row>
    <row r="24" s="67" customFormat="1" ht="12" customHeight="1" spans="2:13">
      <c r="B24" s="120" t="str">
        <f ca="1">发票!C14</f>
        <v>编织表带</v>
      </c>
      <c r="C24" s="121"/>
      <c r="D24" s="122" t="str">
        <f ca="1">发票!D14</f>
        <v>SX3-22-01</v>
      </c>
      <c r="E24" s="123">
        <f ca="1">发票!E14</f>
        <v>140</v>
      </c>
      <c r="F24" s="124" t="str">
        <f ca="1">发票!F14</f>
        <v>条</v>
      </c>
      <c r="G24" s="125">
        <f ca="1">发票!G14</f>
        <v>18</v>
      </c>
      <c r="H24" s="126" t="str">
        <f ca="1">发票!H14</f>
        <v>人民币</v>
      </c>
      <c r="I24" s="127">
        <f ca="1">发票!I14</f>
        <v>2520</v>
      </c>
      <c r="J24" s="127"/>
      <c r="K24" s="128"/>
      <c r="M24" s="129"/>
    </row>
    <row r="25" s="67" customFormat="1" ht="12" customHeight="1" spans="2:13">
      <c r="B25" s="120" t="str">
        <f ca="1">发票!C15</f>
        <v>表带</v>
      </c>
      <c r="C25" s="121"/>
      <c r="D25" s="122" t="str">
        <f ca="1">发票!D15</f>
        <v>XY140-L1</v>
      </c>
      <c r="E25" s="123">
        <f ca="1">发票!E15</f>
        <v>20</v>
      </c>
      <c r="F25" s="124" t="str">
        <f ca="1">发票!F15</f>
        <v>条</v>
      </c>
      <c r="G25" s="125">
        <f ca="1">发票!G15</f>
        <v>6.5</v>
      </c>
      <c r="H25" s="126" t="str">
        <f ca="1">发票!H15</f>
        <v>人民币</v>
      </c>
      <c r="I25" s="127">
        <f ca="1">发票!I15</f>
        <v>130</v>
      </c>
      <c r="J25" s="127"/>
      <c r="K25" s="128"/>
      <c r="M25" s="129"/>
    </row>
    <row r="26" s="67" customFormat="1" ht="12" customHeight="1" spans="2:13">
      <c r="B26" s="120" t="str">
        <f ca="1">发票!C16</f>
        <v>表带</v>
      </c>
      <c r="C26" s="121"/>
      <c r="D26" s="122" t="str">
        <f ca="1">发票!D16</f>
        <v>XY140-S1</v>
      </c>
      <c r="E26" s="123">
        <f ca="1">发票!E16</f>
        <v>60</v>
      </c>
      <c r="F26" s="124" t="str">
        <f ca="1">发票!F16</f>
        <v>条</v>
      </c>
      <c r="G26" s="125">
        <f ca="1">发票!G16</f>
        <v>6.5</v>
      </c>
      <c r="H26" s="126" t="str">
        <f ca="1">发票!H16</f>
        <v>人民币</v>
      </c>
      <c r="I26" s="127">
        <f ca="1">发票!I16</f>
        <v>390</v>
      </c>
      <c r="J26" s="127"/>
      <c r="K26" s="128"/>
      <c r="M26" s="129"/>
    </row>
    <row r="27" s="67" customFormat="1" ht="12" customHeight="1" spans="2:13">
      <c r="B27" s="120" t="str">
        <f ca="1">发票!C17</f>
        <v>表带</v>
      </c>
      <c r="C27" s="121"/>
      <c r="D27" s="122" t="str">
        <f ca="1">发票!D17</f>
        <v>XY37-1</v>
      </c>
      <c r="E27" s="123">
        <f ca="1">发票!E17</f>
        <v>15</v>
      </c>
      <c r="F27" s="124" t="str">
        <f ca="1">发票!F17</f>
        <v>条</v>
      </c>
      <c r="G27" s="125">
        <f ca="1">发票!G17</f>
        <v>8</v>
      </c>
      <c r="H27" s="126" t="str">
        <f ca="1">发票!H17</f>
        <v>人民币</v>
      </c>
      <c r="I27" s="127">
        <f ca="1">发票!I17</f>
        <v>120</v>
      </c>
      <c r="J27" s="127"/>
      <c r="K27" s="128"/>
      <c r="M27" s="129"/>
    </row>
    <row r="28" s="67" customFormat="1" ht="12" customHeight="1" spans="2:13">
      <c r="B28" s="120" t="str">
        <f ca="1">发票!C18</f>
        <v>表带</v>
      </c>
      <c r="C28" s="121"/>
      <c r="D28" s="122" t="str">
        <f ca="1">发票!D18</f>
        <v>XY37-3</v>
      </c>
      <c r="E28" s="123">
        <f ca="1">发票!E18</f>
        <v>15</v>
      </c>
      <c r="F28" s="124" t="str">
        <f ca="1">发票!F18</f>
        <v>条</v>
      </c>
      <c r="G28" s="125">
        <f ca="1">发票!G18</f>
        <v>8</v>
      </c>
      <c r="H28" s="126" t="str">
        <f ca="1">发票!H18</f>
        <v>人民币</v>
      </c>
      <c r="I28" s="127">
        <f ca="1">发票!I18</f>
        <v>120</v>
      </c>
      <c r="J28" s="127"/>
      <c r="K28" s="128"/>
      <c r="M28" s="129"/>
    </row>
    <row r="29" s="67" customFormat="1" ht="12" customHeight="1" spans="2:13">
      <c r="B29" s="120" t="str">
        <f ca="1">发票!C19</f>
        <v>硅胶表带</v>
      </c>
      <c r="C29" s="121"/>
      <c r="D29" s="122" t="str">
        <f ca="1">发票!D19</f>
        <v>ZF-3</v>
      </c>
      <c r="E29" s="123">
        <f ca="1">发票!E19</f>
        <v>100</v>
      </c>
      <c r="F29" s="124" t="str">
        <f ca="1">发票!F19</f>
        <v>条</v>
      </c>
      <c r="G29" s="125">
        <f ca="1">发票!G19</f>
        <v>6</v>
      </c>
      <c r="H29" s="126" t="str">
        <f ca="1">发票!H19</f>
        <v>人民币</v>
      </c>
      <c r="I29" s="127">
        <f ca="1">发票!I19</f>
        <v>600</v>
      </c>
      <c r="J29" s="127"/>
      <c r="K29" s="128"/>
      <c r="M29" s="129"/>
    </row>
    <row r="30" s="67" customFormat="1" ht="12" customHeight="1" spans="2:13">
      <c r="B30" s="120" t="str">
        <f ca="1">发票!C20</f>
        <v>手表表带</v>
      </c>
      <c r="C30" s="121"/>
      <c r="D30" s="122" t="str">
        <f ca="1">发票!D20</f>
        <v>ZY2-3</v>
      </c>
      <c r="E30" s="123">
        <f ca="1">发票!E20</f>
        <v>5</v>
      </c>
      <c r="F30" s="124" t="str">
        <f ca="1">发票!F20</f>
        <v>条</v>
      </c>
      <c r="G30" s="125">
        <f ca="1">发票!G20</f>
        <v>32</v>
      </c>
      <c r="H30" s="126" t="str">
        <f ca="1">发票!H20</f>
        <v>人民币</v>
      </c>
      <c r="I30" s="127">
        <f ca="1">发票!I20</f>
        <v>160</v>
      </c>
      <c r="J30" s="127"/>
      <c r="K30" s="128"/>
      <c r="M30" s="129"/>
    </row>
    <row r="31" s="67" customFormat="1" ht="12" customHeight="1" spans="2:13">
      <c r="B31" s="120" t="str">
        <f ca="1">发票!C21</f>
        <v>手表表带</v>
      </c>
      <c r="C31" s="121"/>
      <c r="D31" s="122" t="str">
        <f ca="1">发票!D21</f>
        <v>ZY2-3</v>
      </c>
      <c r="E31" s="123">
        <f ca="1">发票!E21</f>
        <v>5</v>
      </c>
      <c r="F31" s="124" t="str">
        <f ca="1">发票!F21</f>
        <v>条</v>
      </c>
      <c r="G31" s="125">
        <f ca="1">发票!G21</f>
        <v>32</v>
      </c>
      <c r="H31" s="126" t="str">
        <f ca="1">发票!H21</f>
        <v>人民币</v>
      </c>
      <c r="I31" s="127">
        <f ca="1">发票!I21</f>
        <v>160</v>
      </c>
      <c r="J31" s="127"/>
      <c r="K31" s="128"/>
    </row>
    <row r="32" s="67" customFormat="1" ht="12" customHeight="1" spans="2:13">
      <c r="B32" s="120" t="str">
        <f ca="1">发票!C22</f>
        <v>手表表带</v>
      </c>
      <c r="C32" s="121"/>
      <c r="D32" s="122" t="str">
        <f ca="1">发票!D22</f>
        <v>ZY2-3</v>
      </c>
      <c r="E32" s="123">
        <f ca="1">发票!E22</f>
        <v>5</v>
      </c>
      <c r="F32" s="124" t="str">
        <f ca="1">发票!F22</f>
        <v>条</v>
      </c>
      <c r="G32" s="125">
        <f ca="1">发票!G22</f>
        <v>32</v>
      </c>
      <c r="H32" s="126" t="str">
        <f ca="1">发票!H22</f>
        <v>人民币</v>
      </c>
      <c r="I32" s="127">
        <f ca="1">发票!I22</f>
        <v>160</v>
      </c>
      <c r="J32" s="127"/>
      <c r="K32" s="128"/>
    </row>
    <row r="33" s="67" customFormat="1" ht="12" customHeight="1" spans="2:11">
      <c r="B33" s="120" t="str">
        <f ca="1">发票!C23</f>
        <v>手表表带</v>
      </c>
      <c r="C33" s="121"/>
      <c r="D33" s="122" t="str">
        <f ca="1">发票!D23</f>
        <v>ZY2-3</v>
      </c>
      <c r="E33" s="123">
        <f ca="1">发票!E23</f>
        <v>5</v>
      </c>
      <c r="F33" s="124" t="str">
        <f ca="1">发票!F23</f>
        <v>条</v>
      </c>
      <c r="G33" s="125">
        <f ca="1">发票!G23</f>
        <v>32</v>
      </c>
      <c r="H33" s="126" t="str">
        <f ca="1">发票!H23</f>
        <v>人民币</v>
      </c>
      <c r="I33" s="127">
        <f ca="1">发票!I23</f>
        <v>160</v>
      </c>
      <c r="J33" s="127"/>
      <c r="K33" s="128"/>
    </row>
    <row r="34" s="67" customFormat="1" ht="12" customHeight="1" spans="2:11">
      <c r="B34" s="120" t="str">
        <f ca="1">发票!C24</f>
        <v>手表表带</v>
      </c>
      <c r="C34" s="121"/>
      <c r="D34" s="122" t="str">
        <f ca="1">发票!D24</f>
        <v>ZY2-3</v>
      </c>
      <c r="E34" s="123">
        <f ca="1">发票!E24</f>
        <v>5</v>
      </c>
      <c r="F34" s="124" t="str">
        <f ca="1">发票!F24</f>
        <v>条</v>
      </c>
      <c r="G34" s="125">
        <f ca="1">发票!G24</f>
        <v>32</v>
      </c>
      <c r="H34" s="126" t="str">
        <f ca="1">发票!H24</f>
        <v>人民币</v>
      </c>
      <c r="I34" s="127">
        <f ca="1">发票!I24</f>
        <v>160</v>
      </c>
      <c r="J34" s="127"/>
      <c r="K34" s="128"/>
    </row>
    <row r="35" s="67" customFormat="1" ht="12" customHeight="1" spans="2:11">
      <c r="B35" s="120" t="str">
        <f ca="1">发票!C25</f>
        <v>手表表带</v>
      </c>
      <c r="C35" s="121"/>
      <c r="D35" s="122" t="str">
        <f ca="1">发票!D25</f>
        <v>ZY2-3</v>
      </c>
      <c r="E35" s="123">
        <f ca="1">发票!E25</f>
        <v>5</v>
      </c>
      <c r="F35" s="124" t="str">
        <f ca="1">发票!F25</f>
        <v>条</v>
      </c>
      <c r="G35" s="125">
        <f ca="1">发票!G25</f>
        <v>32</v>
      </c>
      <c r="H35" s="126" t="str">
        <f ca="1">发票!H25</f>
        <v>人民币</v>
      </c>
      <c r="I35" s="127">
        <f ca="1">发票!I25</f>
        <v>160</v>
      </c>
      <c r="J35" s="127"/>
      <c r="K35" s="128"/>
    </row>
    <row r="36" s="67" customFormat="1" ht="12" customHeight="1" spans="2:11">
      <c r="B36" s="120" t="str">
        <f ca="1">发票!C26</f>
        <v>手表表带</v>
      </c>
      <c r="C36" s="121"/>
      <c r="D36" s="122" t="str">
        <f ca="1">发票!D26</f>
        <v>ZY2-3</v>
      </c>
      <c r="E36" s="123">
        <f ca="1">发票!E26</f>
        <v>5</v>
      </c>
      <c r="F36" s="124" t="str">
        <f ca="1">发票!F26</f>
        <v>条</v>
      </c>
      <c r="G36" s="125">
        <f ca="1">发票!G26</f>
        <v>32</v>
      </c>
      <c r="H36" s="126" t="str">
        <f ca="1">发票!H26</f>
        <v>人民币</v>
      </c>
      <c r="I36" s="127">
        <f ca="1">发票!I26</f>
        <v>160</v>
      </c>
      <c r="J36" s="127"/>
      <c r="K36" s="128"/>
    </row>
    <row r="37" s="67" customFormat="1" ht="12" customHeight="1" spans="2:11">
      <c r="B37" s="120" t="str">
        <f ca="1">发票!C27</f>
        <v>手表表带</v>
      </c>
      <c r="C37" s="121"/>
      <c r="D37" s="122" t="str">
        <f ca="1">发票!D27</f>
        <v>ZY2-3</v>
      </c>
      <c r="E37" s="123">
        <f ca="1">发票!E27</f>
        <v>5</v>
      </c>
      <c r="F37" s="124" t="str">
        <f ca="1">发票!F27</f>
        <v>条</v>
      </c>
      <c r="G37" s="125">
        <f ca="1">发票!G27</f>
        <v>32</v>
      </c>
      <c r="H37" s="126" t="str">
        <f ca="1">发票!H27</f>
        <v>人民币</v>
      </c>
      <c r="I37" s="127">
        <f ca="1">发票!I27</f>
        <v>160</v>
      </c>
      <c r="J37" s="127"/>
      <c r="K37" s="128"/>
    </row>
    <row r="38" s="67" customFormat="1" ht="12" customHeight="1" spans="2:11">
      <c r="B38" s="120" t="str">
        <f ca="1">发票!C28</f>
        <v>手表表带</v>
      </c>
      <c r="C38" s="121"/>
      <c r="D38" s="122" t="str">
        <f ca="1">发票!D28</f>
        <v>ZY2-3</v>
      </c>
      <c r="E38" s="123">
        <f ca="1">发票!E28</f>
        <v>5</v>
      </c>
      <c r="F38" s="124" t="str">
        <f ca="1">发票!F28</f>
        <v>条</v>
      </c>
      <c r="G38" s="125">
        <f ca="1">发票!G28</f>
        <v>32</v>
      </c>
      <c r="H38" s="126" t="str">
        <f ca="1">发票!H28</f>
        <v>人民币</v>
      </c>
      <c r="I38" s="127">
        <f ca="1">发票!I28</f>
        <v>160</v>
      </c>
      <c r="J38" s="127"/>
      <c r="K38" s="128"/>
    </row>
    <row r="39" s="67" customFormat="1" ht="12" customHeight="1" spans="2:11">
      <c r="B39" s="120" t="str">
        <f ca="1">发票!C29</f>
        <v>手表表带</v>
      </c>
      <c r="C39" s="121"/>
      <c r="D39" s="122" t="str">
        <f ca="1">发票!D29</f>
        <v>ZY2-3</v>
      </c>
      <c r="E39" s="123">
        <f ca="1">发票!E29</f>
        <v>5</v>
      </c>
      <c r="F39" s="124" t="str">
        <f ca="1">发票!F29</f>
        <v>条</v>
      </c>
      <c r="G39" s="125">
        <f ca="1">发票!G29</f>
        <v>32</v>
      </c>
      <c r="H39" s="126" t="str">
        <f ca="1">发票!H29</f>
        <v>人民币</v>
      </c>
      <c r="I39" s="127">
        <f ca="1">发票!I29</f>
        <v>160</v>
      </c>
      <c r="J39" s="127"/>
      <c r="K39" s="128"/>
    </row>
    <row r="40" s="67" customFormat="1" ht="12" customHeight="1" spans="2:11">
      <c r="B40" s="120" t="str">
        <f ca="1">发票!C30</f>
        <v>手表表带</v>
      </c>
      <c r="C40" s="121"/>
      <c r="D40" s="122" t="str">
        <f ca="1">发票!D30</f>
        <v>ZY2-3</v>
      </c>
      <c r="E40" s="123">
        <f ca="1">发票!E30</f>
        <v>5</v>
      </c>
      <c r="F40" s="124" t="str">
        <f ca="1">发票!F30</f>
        <v>条</v>
      </c>
      <c r="G40" s="125">
        <f ca="1">发票!G30</f>
        <v>32</v>
      </c>
      <c r="H40" s="126" t="str">
        <f ca="1">发票!H30</f>
        <v>人民币</v>
      </c>
      <c r="I40" s="127">
        <f ca="1">发票!I30</f>
        <v>160</v>
      </c>
      <c r="J40" s="127"/>
      <c r="K40" s="128"/>
    </row>
    <row r="41" s="67" customFormat="1" ht="12" customHeight="1" spans="2:11">
      <c r="B41" s="120" t="str">
        <f ca="1">发票!C31</f>
        <v>手表表带</v>
      </c>
      <c r="C41" s="121"/>
      <c r="D41" s="122" t="str">
        <f ca="1">发票!D31</f>
        <v>ZY2-3</v>
      </c>
      <c r="E41" s="123">
        <f ca="1">发票!E31</f>
        <v>5</v>
      </c>
      <c r="F41" s="124" t="str">
        <f ca="1">发票!F31</f>
        <v>条</v>
      </c>
      <c r="G41" s="125">
        <f ca="1">发票!G31</f>
        <v>32</v>
      </c>
      <c r="H41" s="126" t="str">
        <f ca="1">发票!H31</f>
        <v>人民币</v>
      </c>
      <c r="I41" s="127">
        <f ca="1">发票!I31</f>
        <v>160</v>
      </c>
      <c r="J41" s="127"/>
      <c r="K41" s="128"/>
    </row>
    <row r="42" s="67" customFormat="1" ht="12" customHeight="1" spans="2:11">
      <c r="B42" s="120" t="str">
        <f ca="1">发票!C32</f>
        <v>手表表带</v>
      </c>
      <c r="C42" s="121"/>
      <c r="D42" s="122" t="str">
        <f ca="1">发票!D32</f>
        <v>ZY2-3</v>
      </c>
      <c r="E42" s="123">
        <f ca="1">发票!E32</f>
        <v>5</v>
      </c>
      <c r="F42" s="124" t="str">
        <f ca="1">发票!F32</f>
        <v>条</v>
      </c>
      <c r="G42" s="125">
        <f ca="1">发票!G32</f>
        <v>32</v>
      </c>
      <c r="H42" s="126" t="str">
        <f ca="1">发票!H32</f>
        <v>人民币</v>
      </c>
      <c r="I42" s="127">
        <f ca="1">发票!I32</f>
        <v>160</v>
      </c>
      <c r="J42" s="127"/>
      <c r="K42" s="128"/>
    </row>
    <row r="43" s="67" customFormat="1" ht="12" customHeight="1" spans="2:11">
      <c r="B43" s="120" t="str">
        <f ca="1">发票!C33</f>
        <v>手表表带</v>
      </c>
      <c r="C43" s="121"/>
      <c r="D43" s="122" t="str">
        <f ca="1">发票!D33</f>
        <v>ZY2-3</v>
      </c>
      <c r="E43" s="123">
        <f ca="1">发票!E33</f>
        <v>5</v>
      </c>
      <c r="F43" s="124" t="str">
        <f ca="1">发票!F33</f>
        <v>条</v>
      </c>
      <c r="G43" s="125">
        <f ca="1">发票!G33</f>
        <v>32</v>
      </c>
      <c r="H43" s="126" t="str">
        <f ca="1">发票!H33</f>
        <v>人民币</v>
      </c>
      <c r="I43" s="127">
        <f ca="1">发票!I33</f>
        <v>160</v>
      </c>
      <c r="J43" s="127"/>
      <c r="K43" s="128"/>
    </row>
    <row r="44" s="67" customFormat="1" ht="12" customHeight="1" spans="2:11">
      <c r="B44" s="120" t="str">
        <f ca="1">发票!C34</f>
        <v>手表表带</v>
      </c>
      <c r="C44" s="121"/>
      <c r="D44" s="122" t="str">
        <f ca="1">发票!D34</f>
        <v>ZY2-3</v>
      </c>
      <c r="E44" s="123">
        <f ca="1">发票!E34</f>
        <v>5</v>
      </c>
      <c r="F44" s="124" t="str">
        <f ca="1">发票!F34</f>
        <v>条</v>
      </c>
      <c r="G44" s="125">
        <f ca="1">发票!G34</f>
        <v>32</v>
      </c>
      <c r="H44" s="126" t="str">
        <f ca="1">发票!H34</f>
        <v>人民币</v>
      </c>
      <c r="I44" s="127">
        <f ca="1">发票!I34</f>
        <v>160</v>
      </c>
      <c r="J44" s="127"/>
      <c r="K44" s="128"/>
    </row>
    <row r="45" s="67" customFormat="1" ht="12" customHeight="1" spans="2:11">
      <c r="B45" s="120" t="str">
        <f ca="1">发票!C35</f>
        <v>手表表带</v>
      </c>
      <c r="C45" s="121"/>
      <c r="D45" s="122" t="str">
        <f ca="1">发票!D35</f>
        <v>ZY2-3</v>
      </c>
      <c r="E45" s="123">
        <f ca="1">发票!E35</f>
        <v>5</v>
      </c>
      <c r="F45" s="124" t="str">
        <f ca="1">发票!F35</f>
        <v>条</v>
      </c>
      <c r="G45" s="125">
        <f ca="1">发票!G35</f>
        <v>32</v>
      </c>
      <c r="H45" s="126" t="str">
        <f ca="1">发票!H35</f>
        <v>人民币</v>
      </c>
      <c r="I45" s="127">
        <f ca="1">发票!I35</f>
        <v>160</v>
      </c>
      <c r="J45" s="127"/>
      <c r="K45" s="128"/>
    </row>
    <row r="46" s="67" customFormat="1" ht="12" customHeight="1" spans="2:11">
      <c r="B46" s="120" t="str">
        <f ca="1">发票!C36</f>
        <v>手表表带</v>
      </c>
      <c r="C46" s="121"/>
      <c r="D46" s="122" t="str">
        <f ca="1">发票!D36</f>
        <v>ZY2-3</v>
      </c>
      <c r="E46" s="123">
        <f ca="1">发票!E36</f>
        <v>5</v>
      </c>
      <c r="F46" s="124" t="str">
        <f ca="1">发票!F36</f>
        <v>条</v>
      </c>
      <c r="G46" s="125">
        <f ca="1">发票!G36</f>
        <v>32</v>
      </c>
      <c r="H46" s="126" t="str">
        <f ca="1">发票!H36</f>
        <v>人民币</v>
      </c>
      <c r="I46" s="127">
        <f ca="1">发票!I36</f>
        <v>160</v>
      </c>
      <c r="J46" s="127"/>
      <c r="K46" s="128"/>
    </row>
    <row r="47" s="67" customFormat="1" ht="12" customHeight="1" spans="2:11">
      <c r="B47" s="120" t="str">
        <f ca="1">发票!C37</f>
        <v>手表表带</v>
      </c>
      <c r="C47" s="121"/>
      <c r="D47" s="122" t="str">
        <f ca="1">发票!D37</f>
        <v>ZY2-3</v>
      </c>
      <c r="E47" s="123">
        <f ca="1">发票!E37</f>
        <v>5</v>
      </c>
      <c r="F47" s="124" t="str">
        <f ca="1">发票!F37</f>
        <v>条</v>
      </c>
      <c r="G47" s="125">
        <f ca="1">发票!G37</f>
        <v>32</v>
      </c>
      <c r="H47" s="126" t="str">
        <f ca="1">发票!H37</f>
        <v>人民币</v>
      </c>
      <c r="I47" s="127">
        <f ca="1">发票!I37</f>
        <v>160</v>
      </c>
      <c r="J47" s="127"/>
      <c r="K47" s="128"/>
    </row>
    <row r="48" s="67" customFormat="1" ht="12" customHeight="1" spans="2:11">
      <c r="B48" s="120"/>
      <c r="C48" s="121"/>
      <c r="D48" s="121"/>
      <c r="E48" s="123"/>
      <c r="F48" s="124"/>
      <c r="G48" s="125"/>
      <c r="H48" s="126"/>
      <c r="I48" s="127"/>
      <c r="J48" s="127"/>
      <c r="K48" s="128"/>
    </row>
    <row r="49" s="67" customFormat="1" ht="12" customHeight="1" spans="2:14">
      <c r="B49" s="120"/>
      <c r="C49" s="121"/>
      <c r="D49" s="121"/>
      <c r="E49" s="123"/>
      <c r="F49" s="124"/>
      <c r="G49" s="125"/>
      <c r="H49" s="126"/>
      <c r="I49" s="127"/>
      <c r="J49" s="127"/>
      <c r="K49" s="128"/>
    </row>
    <row r="50" s="67" customFormat="1" ht="6" customHeight="1" spans="2:14">
      <c r="B50" s="130"/>
      <c r="C50" s="131"/>
      <c r="D50" s="131"/>
      <c r="E50" s="132"/>
      <c r="F50" s="133"/>
      <c r="G50" s="134"/>
      <c r="H50" s="135"/>
      <c r="I50" s="136"/>
      <c r="J50" s="136"/>
      <c r="K50" s="137"/>
    </row>
    <row r="51" ht="13.5" customHeight="1" spans="2:14">
      <c r="B51" s="108" t="s">
        <v>278</v>
      </c>
      <c r="C51" s="108"/>
      <c r="D51" s="108"/>
      <c r="E51" s="107"/>
      <c r="F51" s="107"/>
      <c r="G51" s="138" t="s">
        <v>279</v>
      </c>
      <c r="H51" s="139" t="str">
        <f ca="1">H18</f>
        <v>人民币</v>
      </c>
      <c r="I51" s="140">
        <f ca="1">SUM(I18:K50)</f>
        <v>22745</v>
      </c>
      <c r="J51" s="140"/>
      <c r="K51" s="140"/>
    </row>
    <row r="52" ht="13.5" customHeight="1" spans="2:14">
      <c r="B52" s="141" t="s">
        <v>280</v>
      </c>
      <c r="C52" s="141"/>
      <c r="D52" s="141"/>
      <c r="E52" s="141"/>
      <c r="F52" s="141"/>
      <c r="G52" s="142" t="s">
        <v>281</v>
      </c>
      <c r="H52" s="143"/>
      <c r="I52" s="144"/>
      <c r="J52" s="144"/>
      <c r="K52" s="144"/>
    </row>
    <row r="53" ht="13.5" customHeight="1" spans="2:14">
      <c r="B53" s="145" t="s">
        <v>282</v>
      </c>
      <c r="C53" s="146"/>
      <c r="D53" s="146"/>
      <c r="E53" s="147" t="str">
        <f ca="1">IF(H51="CNY","总计人民币:",IF(H51="USD","总计美元: ","  "))</f>
        <v>  </v>
      </c>
      <c r="F53" s="148" t="s">
        <v>220</v>
      </c>
      <c r="G53" s="149"/>
      <c r="H53" s="149"/>
      <c r="I53" s="149"/>
      <c r="J53" s="149"/>
      <c r="K53" s="149"/>
      <c r="N53" s="150"/>
    </row>
    <row r="54" ht="13.5" customHeight="1" spans="2:14">
      <c r="B54" s="107"/>
      <c r="C54" s="107"/>
      <c r="D54" s="107"/>
      <c r="E54" s="147"/>
      <c r="F54" s="149"/>
      <c r="G54" s="149"/>
      <c r="H54" s="149"/>
      <c r="I54" s="149"/>
      <c r="J54" s="149"/>
      <c r="K54" s="149"/>
    </row>
    <row r="55" ht="13.5" customHeight="1" spans="2:14">
      <c r="B55" s="151" t="s">
        <v>283</v>
      </c>
      <c r="C55" s="152"/>
      <c r="D55" s="152"/>
      <c r="E55" s="153"/>
      <c r="F55" s="154"/>
      <c r="G55" s="154"/>
      <c r="H55" s="154"/>
      <c r="I55" s="154"/>
      <c r="J55" s="154"/>
      <c r="K55" s="154"/>
    </row>
    <row r="56" ht="12" customHeight="1" spans="2:14">
      <c r="B56" s="107" t="s">
        <v>284</v>
      </c>
      <c r="C56" s="107"/>
      <c r="D56" s="107"/>
      <c r="E56" s="154"/>
      <c r="F56" s="154"/>
      <c r="G56" s="154"/>
      <c r="H56" s="154"/>
      <c r="I56" s="154"/>
      <c r="J56" s="154"/>
      <c r="K56" s="154"/>
    </row>
    <row r="57" ht="13.5" customHeight="1" spans="2:14">
      <c r="B57" s="151" t="s">
        <v>285</v>
      </c>
      <c r="C57" s="151"/>
      <c r="D57" s="151"/>
      <c r="E57" s="154"/>
      <c r="F57" s="154"/>
      <c r="G57" s="154"/>
      <c r="H57" s="154"/>
      <c r="I57" s="154"/>
      <c r="J57" s="154"/>
      <c r="K57" s="154"/>
    </row>
    <row r="58" ht="11.1" customHeight="1" spans="2:14">
      <c r="B58" s="151" t="s">
        <v>286</v>
      </c>
      <c r="C58" s="155">
        <f ca="1">TODAY()+15</f>
        <v>46170</v>
      </c>
      <c r="D58" s="155"/>
      <c r="E58" s="155"/>
      <c r="F58" s="156" t="s">
        <v>287</v>
      </c>
      <c r="G58" s="151"/>
      <c r="H58" s="151"/>
      <c r="I58" s="74"/>
      <c r="J58" s="74"/>
      <c r="K58" s="74"/>
    </row>
    <row r="59" ht="13.5" customHeight="1" spans="2:14">
      <c r="B59" s="151" t="s">
        <v>288</v>
      </c>
      <c r="C59" s="151"/>
      <c r="D59" s="151"/>
      <c r="E59" s="157" t="str">
        <f>箱单!E7</f>
        <v>英国</v>
      </c>
      <c r="F59" s="146" t="s">
        <v>289</v>
      </c>
      <c r="G59" s="151"/>
      <c r="H59" s="151"/>
      <c r="I59" s="74"/>
      <c r="J59" s="74"/>
      <c r="K59" s="74"/>
    </row>
    <row r="60" ht="9.95" customHeight="1" spans="2:14">
      <c r="B60" s="151"/>
      <c r="C60" s="151"/>
      <c r="D60" s="151"/>
      <c r="E60" s="151"/>
      <c r="F60" s="151"/>
      <c r="G60" s="151"/>
      <c r="H60" s="151"/>
      <c r="I60" s="151"/>
      <c r="J60" s="151"/>
      <c r="K60" s="151"/>
    </row>
    <row r="61" ht="13.5" customHeight="1" spans="2:14">
      <c r="B61" s="151" t="s">
        <v>290</v>
      </c>
      <c r="C61" s="151"/>
      <c r="D61" s="151"/>
      <c r="E61" s="151"/>
      <c r="F61" s="151"/>
      <c r="G61" s="151"/>
      <c r="H61" s="107"/>
      <c r="I61" s="74"/>
      <c r="J61" s="74"/>
      <c r="K61" s="74"/>
    </row>
    <row r="62" ht="12" customHeight="1" spans="2:14">
      <c r="B62" s="107" t="s">
        <v>291</v>
      </c>
      <c r="C62" s="151"/>
      <c r="D62" s="151"/>
      <c r="E62" s="151"/>
      <c r="F62" s="151"/>
      <c r="G62" s="151"/>
      <c r="H62" s="158"/>
      <c r="I62" s="74"/>
      <c r="J62" s="74"/>
      <c r="K62" s="74"/>
    </row>
    <row r="63" ht="13.5" customHeight="1" spans="2:14">
      <c r="B63" s="151" t="s">
        <v>292</v>
      </c>
      <c r="C63" s="159" t="str">
        <f>箱单!H7</f>
        <v>电汇 先出后结</v>
      </c>
      <c r="D63" s="159"/>
      <c r="E63" s="157"/>
      <c r="F63" s="151"/>
      <c r="G63" s="151"/>
      <c r="H63" s="160"/>
      <c r="I63" s="74"/>
      <c r="J63" s="74"/>
      <c r="K63" s="74"/>
    </row>
    <row r="64" ht="12" customHeight="1" spans="2:14">
      <c r="B64" s="151" t="s">
        <v>293</v>
      </c>
      <c r="C64" s="151"/>
      <c r="D64" s="151"/>
      <c r="E64" s="151"/>
      <c r="F64" s="151"/>
      <c r="G64" s="151"/>
      <c r="H64" s="160"/>
      <c r="I64" s="74"/>
      <c r="J64" s="74"/>
      <c r="K64" s="74"/>
    </row>
    <row r="65" ht="13.5" customHeight="1" spans="2:11">
      <c r="B65" s="151" t="s">
        <v>294</v>
      </c>
      <c r="C65" s="161"/>
      <c r="D65" s="161"/>
      <c r="E65" s="161"/>
      <c r="F65" s="161"/>
      <c r="G65" s="161"/>
      <c r="H65" s="161"/>
      <c r="I65" s="74"/>
      <c r="J65" s="74"/>
      <c r="K65" s="74"/>
    </row>
    <row r="66" ht="12" customHeight="1" spans="2:11">
      <c r="B66" s="151" t="s">
        <v>295</v>
      </c>
      <c r="C66" s="161"/>
      <c r="D66" s="161"/>
      <c r="E66" s="161"/>
      <c r="F66" s="161"/>
      <c r="G66" s="161"/>
      <c r="H66" s="161"/>
      <c r="I66" s="74"/>
      <c r="J66" s="74"/>
      <c r="K66" s="74"/>
    </row>
    <row r="67" ht="13.5" hidden="1" customHeight="1" spans="2:11">
      <c r="B67" s="151"/>
      <c r="C67" s="161"/>
      <c r="D67" s="161"/>
      <c r="E67" s="161"/>
      <c r="F67" s="161"/>
      <c r="G67" s="161"/>
      <c r="H67" s="161"/>
      <c r="I67" s="74"/>
      <c r="J67" s="74"/>
      <c r="K67" s="74"/>
    </row>
    <row r="68" ht="2.25" customHeight="1" spans="2:11">
      <c r="B68" s="151"/>
      <c r="C68" s="151"/>
      <c r="D68" s="151"/>
      <c r="E68" s="151"/>
      <c r="F68" s="151"/>
      <c r="G68" s="151"/>
      <c r="H68" s="151"/>
      <c r="I68" s="74"/>
      <c r="J68" s="74"/>
      <c r="K68" s="74"/>
    </row>
    <row r="69" ht="9" customHeight="1" spans="2:11">
      <c r="B69" s="151"/>
      <c r="C69" s="151"/>
      <c r="D69" s="151"/>
      <c r="E69" s="151"/>
      <c r="F69" s="151"/>
      <c r="G69" s="151"/>
      <c r="H69" s="151"/>
      <c r="I69" s="74"/>
      <c r="J69" s="74"/>
      <c r="K69" s="74"/>
    </row>
    <row r="70" ht="13.5" customHeight="1" spans="2:11">
      <c r="B70" s="162"/>
      <c r="E70" s="151"/>
      <c r="F70" s="162"/>
      <c r="I70" s="74"/>
      <c r="J70" s="74"/>
      <c r="K70" s="74"/>
    </row>
    <row r="71" ht="13.5" customHeight="1" spans="2:11">
      <c r="B71" s="162"/>
      <c r="E71" s="151"/>
      <c r="F71" s="163"/>
      <c r="I71" s="74"/>
      <c r="J71" s="74"/>
      <c r="K71" s="74"/>
    </row>
    <row r="72" ht="13.5" customHeight="1" spans="2:11">
      <c r="B72" s="160" t="s">
        <v>296</v>
      </c>
      <c r="E72" s="151"/>
      <c r="F72" s="164" t="s">
        <v>297</v>
      </c>
      <c r="I72" s="74"/>
      <c r="J72" s="74"/>
      <c r="K72" s="74"/>
    </row>
    <row r="73" ht="13.5" customHeight="1" spans="2:11">
      <c r="B73" s="165" t="s">
        <v>298</v>
      </c>
      <c r="E73" s="151"/>
      <c r="F73" s="160" t="s">
        <v>299</v>
      </c>
      <c r="I73" s="74"/>
      <c r="J73" s="74"/>
      <c r="K73" s="74"/>
    </row>
    <row r="74" ht="13.5" customHeight="1" spans="2:11">
      <c r="B74" s="151" t="s">
        <v>300</v>
      </c>
      <c r="E74" s="151"/>
      <c r="F74" s="151" t="s">
        <v>300</v>
      </c>
      <c r="I74" s="74"/>
      <c r="J74" s="74"/>
      <c r="K74" s="74"/>
    </row>
    <row r="75" ht="9" customHeight="1" spans="2:11">
      <c r="B75" s="164"/>
      <c r="C75" s="164"/>
      <c r="D75" s="164"/>
      <c r="E75" s="164"/>
      <c r="F75" s="164"/>
      <c r="G75" s="164"/>
      <c r="H75" s="164"/>
      <c r="I75" s="74"/>
      <c r="J75" s="74"/>
      <c r="K75" s="74"/>
    </row>
    <row r="76" ht="13.5" customHeight="1"/>
    <row r="77" ht="13.5" customHeight="1"/>
  </sheetData>
  <mergeCells count="101">
    <mergeCell ref="B1:K1"/>
    <mergeCell ref="I2:K2"/>
    <mergeCell ref="H3:K3"/>
    <mergeCell ref="I4:K4"/>
    <mergeCell ref="I5:K5"/>
    <mergeCell ref="H6:K6"/>
    <mergeCell ref="I7:K7"/>
    <mergeCell ref="H8:K8"/>
    <mergeCell ref="I9:K9"/>
    <mergeCell ref="H10:K10"/>
    <mergeCell ref="I13:K13"/>
    <mergeCell ref="I14:K14"/>
    <mergeCell ref="B15:K15"/>
    <mergeCell ref="B16:C16"/>
    <mergeCell ref="H16:K16"/>
    <mergeCell ref="B17:C17"/>
    <mergeCell ref="H17:K17"/>
    <mergeCell ref="B18:C18"/>
    <mergeCell ref="I18:K18"/>
    <mergeCell ref="B19:C19"/>
    <mergeCell ref="I19:K19"/>
    <mergeCell ref="B20:C20"/>
    <mergeCell ref="I20:K20"/>
    <mergeCell ref="B21:C21"/>
    <mergeCell ref="I21:K21"/>
    <mergeCell ref="B22:C22"/>
    <mergeCell ref="I22:K22"/>
    <mergeCell ref="B23:C23"/>
    <mergeCell ref="I23:K23"/>
    <mergeCell ref="B24:C24"/>
    <mergeCell ref="I24:K24"/>
    <mergeCell ref="B25:C25"/>
    <mergeCell ref="I25:K25"/>
    <mergeCell ref="B26:C26"/>
    <mergeCell ref="I26:K26"/>
    <mergeCell ref="B27:C27"/>
    <mergeCell ref="I27:K27"/>
    <mergeCell ref="B28:C28"/>
    <mergeCell ref="I28:K28"/>
    <mergeCell ref="B29:C29"/>
    <mergeCell ref="I29:K29"/>
    <mergeCell ref="B30:C30"/>
    <mergeCell ref="I30:K30"/>
    <mergeCell ref="B31:C31"/>
    <mergeCell ref="I31:K31"/>
    <mergeCell ref="B32:C32"/>
    <mergeCell ref="I32:K32"/>
    <mergeCell ref="B33:C33"/>
    <mergeCell ref="I33:K33"/>
    <mergeCell ref="B34:C34"/>
    <mergeCell ref="I34:K34"/>
    <mergeCell ref="B35:C35"/>
    <mergeCell ref="I35:K35"/>
    <mergeCell ref="B36:C36"/>
    <mergeCell ref="I36:K36"/>
    <mergeCell ref="B37:C37"/>
    <mergeCell ref="I37:K37"/>
    <mergeCell ref="B38:C38"/>
    <mergeCell ref="I38:K38"/>
    <mergeCell ref="B39:C39"/>
    <mergeCell ref="I39:K39"/>
    <mergeCell ref="B40:C40"/>
    <mergeCell ref="I40:K40"/>
    <mergeCell ref="B41:C41"/>
    <mergeCell ref="I41:K41"/>
    <mergeCell ref="B42:C42"/>
    <mergeCell ref="I42:K42"/>
    <mergeCell ref="B43:C43"/>
    <mergeCell ref="I43:K43"/>
    <mergeCell ref="B44:C44"/>
    <mergeCell ref="I44:K44"/>
    <mergeCell ref="B45:C45"/>
    <mergeCell ref="I45:K45"/>
    <mergeCell ref="B46:C46"/>
    <mergeCell ref="I46:K46"/>
    <mergeCell ref="B47:C47"/>
    <mergeCell ref="I47:K47"/>
    <mergeCell ref="B49:C49"/>
    <mergeCell ref="I49:K49"/>
    <mergeCell ref="B50:C50"/>
    <mergeCell ref="I50:K50"/>
    <mergeCell ref="B52:F52"/>
    <mergeCell ref="F53:I53"/>
    <mergeCell ref="C58:E58"/>
    <mergeCell ref="C6:C7"/>
    <mergeCell ref="C12:C13"/>
    <mergeCell ref="F6:F7"/>
    <mergeCell ref="F12:F13"/>
    <mergeCell ref="G11:G12"/>
    <mergeCell ref="H11:H12"/>
    <mergeCell ref="H51:H52"/>
    <mergeCell ref="C2:F3"/>
    <mergeCell ref="C4:F5"/>
    <mergeCell ref="C8:F9"/>
    <mergeCell ref="C65:H67"/>
    <mergeCell ref="I11:K12"/>
    <mergeCell ref="I61:K75"/>
    <mergeCell ref="E55:K57"/>
    <mergeCell ref="I58:K59"/>
    <mergeCell ref="I51:K52"/>
    <mergeCell ref="C10:F11"/>
  </mergeCells>
  <pageMargins left="0.2" right="0.2" top="0.28" bottom="0.24" header="0.24" footer="0.08"/>
  <pageSetup paperSize="9" scale="83" orientation="portrait" horizontalDpi="600" verticalDpi="600"/>
  <headerFooter alignWithMargins="0" scaleWithDoc="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49"/>
  <sheetViews>
    <sheetView showZeros="0" view="pageBreakPreview" zoomScaleNormal="100" workbookViewId="0">
      <selection activeCell="L34" sqref="L34"/>
    </sheetView>
  </sheetViews>
  <sheetFormatPr defaultColWidth="9" defaultRowHeight="14.25"/>
  <cols>
    <col min="1" max="1" width="2.875" style="1" customWidth="1"/>
    <col min="2" max="2" width="11.5" style="1" customWidth="1"/>
    <col min="3" max="3" width="9" style="1" customWidth="1"/>
    <col min="4" max="4" width="7" style="1" customWidth="1"/>
    <col min="5" max="5" width="12.5" style="1" customWidth="1"/>
    <col min="6" max="6" width="2.125" style="1" customWidth="1"/>
    <col min="7" max="7" width="12.625" style="1" customWidth="1"/>
    <col min="8" max="8" width="14" style="1" customWidth="1"/>
    <col min="9" max="9" width="9" style="1"/>
    <col min="10" max="10" width="4.75" style="1" customWidth="1"/>
    <col min="11" max="14" width="9" style="1"/>
    <col min="15" max="15" width="12.625" style="1"/>
    <col min="16" max="16384" width="9" style="1"/>
  </cols>
  <sheetData>
    <row r="1" ht="12" customHeight="1"/>
    <row r="2" ht="9" customHeight="1"/>
    <row r="3" ht="18.75" spans="2:9">
      <c r="E3" s="2" t="s">
        <v>301</v>
      </c>
    </row>
    <row r="5" spans="2:9">
      <c r="G5" s="1" t="s">
        <v>302</v>
      </c>
    </row>
    <row r="6" spans="2:9">
      <c r="C6" s="3">
        <f>报关单!V11</f>
        <v>0</v>
      </c>
    </row>
    <row r="7" spans="2:9">
      <c r="B7" s="4" t="s">
        <v>303</v>
      </c>
    </row>
    <row r="8" spans="2:9">
      <c r="B8" s="4" t="s">
        <v>304</v>
      </c>
    </row>
    <row r="9" spans="2:9">
      <c r="B9" s="4" t="s">
        <v>305</v>
      </c>
    </row>
    <row r="10" spans="2:9">
      <c r="B10" s="4" t="s">
        <v>306</v>
      </c>
    </row>
    <row r="11" spans="2:9">
      <c r="B11" s="4" t="s">
        <v>307</v>
      </c>
    </row>
    <row r="12" spans="2:9">
      <c r="B12" s="4" t="s">
        <v>308</v>
      </c>
      <c r="E12" s="5" t="s">
        <v>309</v>
      </c>
    </row>
    <row r="13" spans="2:9">
      <c r="G13" s="6" t="s">
        <v>310</v>
      </c>
    </row>
    <row r="15" spans="2:9">
      <c r="D15" s="6" t="s">
        <v>311</v>
      </c>
    </row>
    <row r="16" spans="2:9">
      <c r="H16" s="7">
        <f ca="1">TODAY()-1</f>
        <v>46154</v>
      </c>
      <c r="I16" s="7"/>
    </row>
    <row r="18" ht="18.75" spans="2:10">
      <c r="E18" s="2" t="s">
        <v>312</v>
      </c>
    </row>
    <row r="20" ht="15" spans="2:10">
      <c r="B20" s="4" t="s">
        <v>313</v>
      </c>
    </row>
    <row r="21" spans="2:10">
      <c r="B21" s="8" t="s">
        <v>314</v>
      </c>
      <c r="C21" s="9" t="str">
        <f>报关单!A4</f>
        <v>深圳市新棱镜贸易有限公司</v>
      </c>
      <c r="D21" s="9"/>
      <c r="E21" s="9"/>
      <c r="F21" s="4"/>
      <c r="G21" s="8" t="s">
        <v>315</v>
      </c>
      <c r="H21" s="10">
        <f>报关单!Y11</f>
        <v>0</v>
      </c>
      <c r="I21" s="10"/>
      <c r="J21" s="10"/>
    </row>
    <row r="22" ht="15" spans="2:10">
      <c r="B22" s="11" t="s">
        <v>316</v>
      </c>
      <c r="C22" s="12" t="str">
        <f>报关单!D20</f>
        <v>编织表带</v>
      </c>
      <c r="D22" s="12"/>
      <c r="E22" s="12"/>
      <c r="F22" s="4"/>
      <c r="G22" s="11" t="s">
        <v>317</v>
      </c>
      <c r="H22" s="13"/>
      <c r="I22" s="13"/>
      <c r="J22" s="13"/>
    </row>
    <row r="23" spans="2:10">
      <c r="B23" s="14" t="s">
        <v>318</v>
      </c>
      <c r="C23" s="15">
        <f>报关单!B20</f>
        <v>9113900090</v>
      </c>
      <c r="D23" s="16"/>
      <c r="E23" s="15"/>
      <c r="F23" s="4"/>
      <c r="G23" s="14" t="s">
        <v>319</v>
      </c>
      <c r="H23" s="17">
        <f ca="1">TODAY()</f>
        <v>46155</v>
      </c>
      <c r="I23" s="17"/>
      <c r="J23" s="17"/>
    </row>
    <row r="24" spans="2:10">
      <c r="B24" s="18" t="s">
        <v>320</v>
      </c>
      <c r="C24" s="19" t="str">
        <f ca="1">发票!H55</f>
        <v>人民币</v>
      </c>
      <c r="D24" s="20">
        <f ca="1">发票!I55</f>
        <v>24985</v>
      </c>
      <c r="E24" s="21"/>
      <c r="F24" s="4"/>
      <c r="G24" s="18" t="s">
        <v>321</v>
      </c>
      <c r="H24" s="18" t="s">
        <v>322</v>
      </c>
      <c r="I24" s="18" t="s">
        <v>323</v>
      </c>
      <c r="J24" s="18"/>
    </row>
    <row r="25" spans="2:10">
      <c r="B25" s="18" t="s">
        <v>324</v>
      </c>
      <c r="C25" s="22">
        <f ca="1">TODAY()+1</f>
        <v>46156</v>
      </c>
      <c r="D25" s="23"/>
      <c r="E25" s="22"/>
      <c r="F25" s="4"/>
      <c r="G25" s="18"/>
      <c r="H25" s="18" t="s">
        <v>325</v>
      </c>
      <c r="I25" s="18" t="s">
        <v>326</v>
      </c>
      <c r="J25" s="18"/>
    </row>
    <row r="26" ht="15" spans="2:10">
      <c r="B26" s="24" t="s">
        <v>327</v>
      </c>
      <c r="C26" s="25"/>
      <c r="D26" s="25"/>
      <c r="E26" s="25"/>
      <c r="F26" s="4"/>
      <c r="G26" s="18"/>
      <c r="H26" s="18" t="s">
        <v>328</v>
      </c>
      <c r="I26" s="18" t="s">
        <v>329</v>
      </c>
      <c r="J26" s="18"/>
    </row>
    <row r="27" ht="15" spans="2:10">
      <c r="B27" s="26" t="s">
        <v>330</v>
      </c>
      <c r="C27" s="27" t="str">
        <f>报关单!E8</f>
        <v>一般贸易</v>
      </c>
      <c r="D27" s="27"/>
      <c r="E27" s="28"/>
      <c r="F27" s="4"/>
      <c r="G27" s="18"/>
      <c r="H27" s="29" t="s">
        <v>331</v>
      </c>
      <c r="I27" s="29"/>
      <c r="J27" s="29"/>
    </row>
    <row r="28" spans="2:10">
      <c r="B28" s="30" t="s">
        <v>332</v>
      </c>
      <c r="C28" s="16" t="str">
        <f>报关单!P20</f>
        <v>深圳特区</v>
      </c>
      <c r="D28" s="16"/>
      <c r="E28" s="16"/>
      <c r="F28" s="4"/>
      <c r="G28" s="24" t="s">
        <v>333</v>
      </c>
      <c r="H28" s="31" t="s">
        <v>334</v>
      </c>
      <c r="I28" s="31"/>
      <c r="J28" s="31"/>
    </row>
    <row r="29" spans="2:10">
      <c r="B29" s="32" t="s">
        <v>335</v>
      </c>
      <c r="C29" s="33"/>
      <c r="D29" s="33"/>
      <c r="E29" s="34"/>
      <c r="G29" s="32" t="s">
        <v>336</v>
      </c>
      <c r="H29" s="33"/>
      <c r="I29" s="33"/>
      <c r="J29" s="34"/>
    </row>
    <row r="30" spans="2:10">
      <c r="B30" s="35"/>
      <c r="C30" s="36"/>
      <c r="D30" s="36"/>
      <c r="E30" s="37"/>
      <c r="G30" s="35"/>
      <c r="H30" s="36"/>
      <c r="I30" s="36"/>
      <c r="J30" s="37"/>
    </row>
    <row r="31" spans="2:10">
      <c r="B31" s="35"/>
      <c r="C31" s="36"/>
      <c r="D31" s="36"/>
      <c r="E31" s="37"/>
      <c r="G31" s="35"/>
      <c r="H31" s="36"/>
      <c r="I31" s="36"/>
      <c r="J31" s="37"/>
    </row>
    <row r="32" spans="2:10">
      <c r="B32" s="35"/>
      <c r="C32" s="36"/>
      <c r="D32" s="36"/>
      <c r="E32" s="37"/>
      <c r="G32" s="35"/>
      <c r="H32" s="36"/>
      <c r="I32" s="36"/>
      <c r="J32" s="37"/>
    </row>
    <row r="33" spans="2:10">
      <c r="B33" s="35"/>
      <c r="C33" s="36"/>
      <c r="D33" s="36"/>
      <c r="E33" s="37"/>
      <c r="G33" s="35"/>
      <c r="H33" s="36"/>
      <c r="I33" s="36"/>
      <c r="J33" s="37"/>
    </row>
    <row r="34" spans="2:10">
      <c r="B34" s="35"/>
      <c r="C34" s="36"/>
      <c r="D34" s="36"/>
      <c r="E34" s="37"/>
      <c r="G34" s="35"/>
      <c r="H34" s="36"/>
      <c r="I34" s="36"/>
      <c r="J34" s="37"/>
    </row>
    <row r="35" spans="2:10">
      <c r="B35" s="35"/>
      <c r="C35" s="36"/>
      <c r="D35" s="36"/>
      <c r="E35" s="37"/>
      <c r="G35" s="35"/>
      <c r="H35" s="36"/>
      <c r="I35" s="36"/>
      <c r="J35" s="37"/>
    </row>
    <row r="36" spans="2:10">
      <c r="B36" s="38" t="s">
        <v>337</v>
      </c>
      <c r="C36" s="39"/>
      <c r="D36" s="39"/>
      <c r="E36" s="40"/>
      <c r="G36" s="38" t="s">
        <v>337</v>
      </c>
      <c r="H36" s="41"/>
      <c r="I36" s="41"/>
      <c r="J36" s="42"/>
    </row>
    <row r="37" spans="2:10">
      <c r="B37" s="43"/>
      <c r="C37" s="44"/>
      <c r="D37" s="44"/>
      <c r="E37" s="45"/>
      <c r="G37" s="46"/>
      <c r="H37" s="47"/>
      <c r="I37" s="47"/>
      <c r="J37" s="48"/>
    </row>
    <row r="38" spans="2:10">
      <c r="B38" s="43"/>
      <c r="C38" s="44"/>
      <c r="D38" s="44"/>
      <c r="E38" s="45"/>
      <c r="G38" s="46"/>
      <c r="H38" s="47"/>
      <c r="I38" s="47"/>
      <c r="J38" s="48"/>
    </row>
    <row r="39" spans="2:10">
      <c r="B39" s="49" t="s">
        <v>338</v>
      </c>
      <c r="C39" s="50"/>
      <c r="D39" s="50"/>
      <c r="E39" s="51"/>
      <c r="G39" s="32" t="s">
        <v>339</v>
      </c>
      <c r="H39" s="50"/>
      <c r="I39" s="50"/>
      <c r="J39" s="51"/>
    </row>
    <row r="40" spans="2:10">
      <c r="B40" s="52"/>
      <c r="C40" s="53"/>
      <c r="D40" s="53"/>
      <c r="E40" s="54"/>
      <c r="G40" s="52"/>
      <c r="H40" s="53"/>
      <c r="I40" s="53"/>
      <c r="J40" s="54"/>
    </row>
    <row r="41" spans="2:10">
      <c r="B41" s="52"/>
      <c r="C41" s="53"/>
      <c r="D41" s="53"/>
      <c r="E41" s="54"/>
      <c r="G41" s="52"/>
      <c r="H41" s="53"/>
      <c r="I41" s="53"/>
      <c r="J41" s="54"/>
    </row>
    <row r="42" spans="2:10">
      <c r="B42" s="52"/>
      <c r="C42" s="53"/>
      <c r="D42" s="53"/>
      <c r="E42" s="54"/>
      <c r="G42" s="52"/>
      <c r="H42" s="53"/>
      <c r="I42" s="53"/>
      <c r="J42" s="54"/>
    </row>
    <row r="43" spans="2:10">
      <c r="B43" s="52"/>
      <c r="C43" s="53"/>
      <c r="D43" s="53"/>
      <c r="E43" s="54"/>
      <c r="G43" s="52"/>
      <c r="H43" s="53"/>
      <c r="I43" s="53"/>
      <c r="J43" s="54"/>
    </row>
    <row r="44" spans="2:10">
      <c r="B44" s="35" t="s">
        <v>340</v>
      </c>
      <c r="C44" s="53"/>
      <c r="D44" s="53"/>
      <c r="E44" s="54"/>
      <c r="G44" s="35" t="s">
        <v>341</v>
      </c>
      <c r="H44" s="36"/>
      <c r="I44" s="36"/>
      <c r="J44" s="37"/>
    </row>
    <row r="45" spans="2:10">
      <c r="B45" s="35" t="s">
        <v>342</v>
      </c>
      <c r="C45" s="53"/>
      <c r="D45" s="55"/>
      <c r="E45" s="56">
        <f ca="1">TODAY()</f>
        <v>46155</v>
      </c>
      <c r="G45" s="35" t="s">
        <v>342</v>
      </c>
      <c r="H45" s="57"/>
      <c r="I45" s="58">
        <f ca="1">TODAY()</f>
        <v>46155</v>
      </c>
      <c r="J45" s="59"/>
    </row>
    <row r="46" spans="2:10">
      <c r="B46" s="52"/>
      <c r="C46" s="53"/>
      <c r="D46" s="53"/>
      <c r="E46" s="54"/>
      <c r="G46" s="52"/>
      <c r="H46" s="53"/>
      <c r="I46" s="53"/>
      <c r="J46" s="54"/>
    </row>
    <row r="47" ht="9" customHeight="1" spans="2:10">
      <c r="B47" s="60"/>
      <c r="C47" s="61"/>
      <c r="D47" s="61"/>
      <c r="E47" s="62"/>
      <c r="G47" s="60"/>
      <c r="H47" s="61"/>
      <c r="I47" s="61"/>
      <c r="J47" s="62"/>
    </row>
    <row r="48" ht="23.1" customHeight="1" spans="2:10">
      <c r="B48" s="63"/>
      <c r="C48" s="64" t="s">
        <v>343</v>
      </c>
      <c r="D48" s="65"/>
      <c r="E48" s="63"/>
      <c r="G48" s="63"/>
      <c r="H48" s="63"/>
      <c r="I48" s="66" t="s">
        <v>344</v>
      </c>
      <c r="J48" s="63"/>
    </row>
    <row r="49" ht="9.95" customHeight="1"/>
  </sheetData>
  <mergeCells count="20">
    <mergeCell ref="H16:I16"/>
    <mergeCell ref="C21:E21"/>
    <mergeCell ref="H21:J21"/>
    <mergeCell ref="C22:E22"/>
    <mergeCell ref="H22:J22"/>
    <mergeCell ref="C23:E23"/>
    <mergeCell ref="H23:J23"/>
    <mergeCell ref="I24:J24"/>
    <mergeCell ref="C25:E25"/>
    <mergeCell ref="I25:J25"/>
    <mergeCell ref="C26:E26"/>
    <mergeCell ref="I26:J26"/>
    <mergeCell ref="C27:E27"/>
    <mergeCell ref="H27:J27"/>
    <mergeCell ref="C28:E28"/>
    <mergeCell ref="H28:J28"/>
    <mergeCell ref="I45:J45"/>
    <mergeCell ref="G24:G27"/>
    <mergeCell ref="B36:E38"/>
    <mergeCell ref="G36:J38"/>
  </mergeCells>
  <pageMargins left="0.2" right="0.12" top="0.47" bottom="0.31" header="0.16" footer="0.04"/>
  <pageSetup paperSize="9" orientation="portrait" horizontalDpi="600" verticalDpi="600"/>
  <headerFooter/>
  <drawing r:id="rId1"/>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7</vt:i4>
      </vt:variant>
    </vt:vector>
  </HeadingPairs>
  <TitlesOfParts>
    <vt:vector size="7" baseType="lpstr">
      <vt:lpstr>报关单</vt:lpstr>
      <vt:lpstr>申报要素</vt:lpstr>
      <vt:lpstr>填制规范</vt:lpstr>
      <vt:lpstr>发票</vt:lpstr>
      <vt:lpstr>箱单</vt:lpstr>
      <vt:lpstr>合同</vt:lpstr>
      <vt:lpstr>委托书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2018-07-03T02:44:00Z</dcterms:created>
  <dcterms:modified xsi:type="dcterms:W3CDTF">2026-05-13T04:00:48Z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2052-12.1.0.25860</vt:lpwstr>
  </property>
  <property fmtid="{D5CDD505-2E9C-101B-9397-08002B2CF9AE}" pid="3" name="ICV">
    <vt:lpwstr>224970335A9740FEA1BFD073358DF2E2_13</vt:lpwstr>
  </property>
  <property fmtid="{D5CDD505-2E9C-101B-9397-08002B2CF9AE}" pid="4" name="CalculationRule">
    <vt:i4>0</vt:i4>
  </property>
</Properties>
</file>