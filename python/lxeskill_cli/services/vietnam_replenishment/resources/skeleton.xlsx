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越南备货清单" sheetId="1" state="visible" r:id="rId1"/>
    <sheet xmlns:r="http://schemas.openxmlformats.org/officeDocument/2006/relationships" name="雅仓库存" sheetId="2" state="visible" r:id="rId2"/>
    <sheet xmlns:r="http://schemas.openxmlformats.org/officeDocument/2006/relationships" name="雅仓动销" sheetId="3" state="visible" r:id="rId3"/>
    <sheet xmlns:r="http://schemas.openxmlformats.org/officeDocument/2006/relationships" name="数据更改" sheetId="4" state="visible" r:id="rId4"/>
    <sheet xmlns:r="http://schemas.openxmlformats.org/officeDocument/2006/relationships" name="库存商品信息" sheetId="5" state="visible" r:id="rId5"/>
  </sheets>
  <definedNames>
    <definedName name="_xlnm._FilterDatabase" localSheetId="0" hidden="1">'越南备货清单'!$A$1:$AY$2</definedName>
    <definedName name="_xlnm._FilterDatabase" localSheetId="1" hidden="1">'雅仓库存'!$A$1:$M$2</definedName>
    <definedName name="_xlnm._FilterDatabase" localSheetId="2" hidden="1">'雅仓动销'!$A$1:$P$2</definedName>
    <definedName name="_xlnm._FilterDatabase" localSheetId="4" hidden="1">'库存商品信息'!$A$1:$K$2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_ "/>
  </numFmts>
  <fonts count="7">
    <font>
      <name val="Calibri"/>
      <family val="2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color rgb="FFFF0000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2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165" fontId="1" fillId="7" borderId="1" applyAlignment="1" pivotButton="0" quotePrefix="0" xfId="0">
      <alignment horizontal="center" vertical="center"/>
    </xf>
    <xf numFmtId="165" fontId="1" fillId="8" borderId="1" applyAlignment="1" pivotButton="0" quotePrefix="0" xfId="0">
      <alignment horizontal="center" vertical="center"/>
    </xf>
    <xf numFmtId="165" fontId="1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5" fontId="1" fillId="5" borderId="1" applyAlignment="1" pivotButton="0" quotePrefix="0" xfId="0">
      <alignment horizontal="center" vertical="center"/>
    </xf>
    <xf numFmtId="9" fontId="1" fillId="5" borderId="1" applyAlignment="1" pivotButton="0" quotePrefix="0" xfId="0">
      <alignment horizontal="center" vertical="center"/>
    </xf>
    <xf numFmtId="166" fontId="1" fillId="5" borderId="1" applyAlignment="1" pivotButton="0" quotePrefix="0" xfId="0">
      <alignment horizontal="center" vertical="center"/>
    </xf>
    <xf numFmtId="166" fontId="1" fillId="7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66" fontId="6" fillId="10" borderId="1" applyAlignment="1" pivotButton="0" quotePrefix="0" xfId="0">
      <alignment horizontal="center" vertical="center"/>
    </xf>
    <xf numFmtId="165" fontId="3" fillId="10" borderId="1" applyAlignment="1" pivotButton="0" quotePrefix="0" xfId="0">
      <alignment horizontal="center" vertical="center"/>
    </xf>
    <xf numFmtId="9" fontId="3" fillId="10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165" fontId="3" fillId="11" borderId="1" applyAlignment="1" pivotButton="0" quotePrefix="0" xfId="0">
      <alignment horizontal="center" vertical="center"/>
    </xf>
    <xf numFmtId="9" fontId="3" fillId="11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10.875" customWidth="1" min="1" max="1"/>
    <col width="8" customWidth="1" min="2" max="2"/>
    <col width="5.875" customWidth="1" min="3" max="3"/>
    <col width="11.875" customWidth="1" min="4" max="4"/>
    <col width="16" customWidth="1" min="5" max="5"/>
    <col width="35.5083333333333" customWidth="1" min="6" max="6"/>
    <col width="8.375" customWidth="1" min="7" max="7"/>
    <col width="5.625" customWidth="1" min="8" max="8"/>
    <col width="6.75" customWidth="1" min="9" max="9"/>
    <col width="5.375" customWidth="1" min="10" max="10"/>
    <col width="5.625" customWidth="1" min="11" max="11"/>
    <col width="5.375" customWidth="1" min="13" max="13"/>
    <col width="10" customWidth="1" min="14" max="14"/>
    <col width="8.875" customWidth="1" min="16" max="16"/>
    <col width="9.875" customWidth="1" min="17" max="17"/>
    <col width="5.375" customWidth="1" min="19" max="19"/>
    <col width="12.25" customWidth="1" min="20" max="20"/>
    <col width="20.625" customWidth="1" min="21" max="21"/>
    <col width="14.625" customWidth="1" min="22" max="22"/>
    <col width="11.5" customWidth="1" min="23" max="23"/>
    <col width="13.5" customWidth="1" min="24" max="24"/>
    <col width="9.875" customWidth="1" min="25" max="25"/>
    <col width="18.25" customWidth="1" min="27" max="27"/>
    <col width="9.875" customWidth="1" min="28" max="28"/>
    <col width="11" customWidth="1" min="30" max="30"/>
    <col width="7.75" customWidth="1" min="31" max="31"/>
    <col width="9.375" customWidth="1" min="32" max="32"/>
    <col width="7.75" customWidth="1" min="33" max="33"/>
    <col width="9.375" customWidth="1" min="35" max="35"/>
    <col width="7.75" customWidth="1" min="36" max="36"/>
    <col width="7.75" customWidth="1" min="37" max="37"/>
    <col width="7.75" customWidth="1" min="38" max="38"/>
    <col width="8.375" customWidth="1" min="39" max="39"/>
    <col width="7.75" customWidth="1" min="40" max="40"/>
    <col width="9" customWidth="1" min="41" max="41"/>
    <col width="5.75" customWidth="1" min="48" max="48"/>
    <col width="4.625" customWidth="1" min="50" max="50"/>
    <col width="5.375" customWidth="1" min="51" max="51"/>
  </cols>
  <sheetData>
    <row r="1" ht="18" customHeight="1">
      <c r="A1" s="1" t="inlineStr">
        <is>
          <t>品牌</t>
        </is>
      </c>
      <c r="B1" s="2" t="inlineStr">
        <is>
          <t>判断热销</t>
        </is>
      </c>
      <c r="C1" s="2" t="inlineStr">
        <is>
          <t>链接</t>
        </is>
      </c>
      <c r="D1" s="2" t="inlineStr">
        <is>
          <t>产品图片</t>
        </is>
      </c>
      <c r="E1" s="3" t="inlineStr">
        <is>
          <t>SKU</t>
        </is>
      </c>
      <c r="F1" s="3" t="inlineStr">
        <is>
          <t>名称</t>
        </is>
      </c>
      <c r="G1" s="4" t="inlineStr">
        <is>
          <t>成本</t>
        </is>
      </c>
      <c r="H1" s="2" t="inlineStr">
        <is>
          <t>陆运</t>
        </is>
      </c>
      <c r="J1" s="5" t="inlineStr">
        <is>
          <t>库存</t>
        </is>
      </c>
      <c r="K1" s="5" t="inlineStr">
        <is>
          <t>30天</t>
        </is>
      </c>
      <c r="L1" s="5" t="inlineStr">
        <is>
          <t>15天</t>
        </is>
      </c>
      <c r="M1" s="5" t="inlineStr">
        <is>
          <t>7天</t>
        </is>
      </c>
      <c r="N1" s="6" t="inlineStr">
        <is>
          <t>30天日销</t>
        </is>
      </c>
      <c r="O1" s="6" t="inlineStr">
        <is>
          <t>15天日销</t>
        </is>
      </c>
      <c r="P1" s="6" t="inlineStr">
        <is>
          <t>7天日销</t>
        </is>
      </c>
      <c r="Q1" s="6" t="inlineStr">
        <is>
          <t>增量趋势</t>
        </is>
      </c>
      <c r="R1" s="6" t="inlineStr">
        <is>
          <t>调节系数</t>
        </is>
      </c>
      <c r="S1" s="6" t="inlineStr">
        <is>
          <t>日均</t>
        </is>
      </c>
      <c r="T1" s="7" t="inlineStr">
        <is>
          <t>调节后日均</t>
        </is>
      </c>
      <c r="U1" s="8" t="inlineStr">
        <is>
          <t>综合判定-是否清货</t>
        </is>
      </c>
      <c r="V1" s="6" t="inlineStr">
        <is>
          <t>去波段预处理</t>
        </is>
      </c>
      <c r="W1" s="6" t="inlineStr">
        <is>
          <t>款号</t>
        </is>
      </c>
      <c r="X1" s="6" t="inlineStr">
        <is>
          <t>款内最大日销</t>
        </is>
      </c>
      <c r="Y1" s="6" t="inlineStr">
        <is>
          <t>款内SKU数</t>
        </is>
      </c>
      <c r="Z1" s="6" t="inlineStr">
        <is>
          <t>款内动销SKU数</t>
        </is>
      </c>
      <c r="AA1" s="6" t="inlineStr">
        <is>
          <t>上架时间</t>
        </is>
      </c>
      <c r="AB1" s="9" t="inlineStr">
        <is>
          <t>可售天数</t>
        </is>
      </c>
      <c r="AC1" s="9" t="inlineStr">
        <is>
          <t>备货天数</t>
        </is>
      </c>
      <c r="AD1" s="10" t="inlineStr">
        <is>
          <t>传过的店铺</t>
        </is>
      </c>
      <c r="AE1" s="11" t="inlineStr">
        <is>
          <t>跨境价</t>
        </is>
      </c>
      <c r="AF1" s="12" t="inlineStr">
        <is>
          <t>闪购价</t>
        </is>
      </c>
      <c r="AG1" s="13" t="inlineStr">
        <is>
          <t>毛利润</t>
        </is>
      </c>
      <c r="AH1" s="14" t="inlineStr">
        <is>
          <t>毛利率</t>
        </is>
      </c>
      <c r="AI1" s="15" t="inlineStr">
        <is>
          <t>前台价</t>
        </is>
      </c>
      <c r="AJ1" s="11" t="inlineStr">
        <is>
          <t>折扣价</t>
        </is>
      </c>
      <c r="AK1" s="12" t="inlineStr">
        <is>
          <t>闪购价</t>
        </is>
      </c>
      <c r="AL1" s="13" t="inlineStr">
        <is>
          <t>毛利润</t>
        </is>
      </c>
      <c r="AM1" s="14" t="inlineStr">
        <is>
          <t>毛利率</t>
        </is>
      </c>
      <c r="AN1" s="16" t="inlineStr">
        <is>
          <t>总在途</t>
        </is>
      </c>
      <c r="AO1" s="17" t="inlineStr">
        <is>
          <t>9/18陆运</t>
        </is>
      </c>
      <c r="AP1" s="17" t="n"/>
      <c r="AQ1" s="17" t="n"/>
      <c r="AR1" s="17" t="n"/>
      <c r="AS1" s="17" t="n"/>
      <c r="AT1" s="17" t="n"/>
      <c r="AU1" s="17" t="n"/>
      <c r="AV1" s="18" t="inlineStr">
        <is>
          <t>30天</t>
        </is>
      </c>
      <c r="AW1" s="18" t="inlineStr">
        <is>
          <t>15天</t>
        </is>
      </c>
      <c r="AX1" s="18" t="inlineStr">
        <is>
          <t>7天</t>
        </is>
      </c>
      <c r="AY1" s="19" t="inlineStr">
        <is>
          <t>汇率</t>
        </is>
      </c>
    </row>
    <row r="2" ht="14.25" customHeight="1">
      <c r="A2" s="20" t="n"/>
      <c r="B2" s="21" t="n"/>
      <c r="C2" s="22" t="n"/>
      <c r="D2" s="23" t="n"/>
      <c r="E2" s="24" t="n"/>
      <c r="F2" s="25" t="n"/>
      <c r="G2" s="26" t="n"/>
      <c r="H2" s="23">
        <f>IF(U2="无动销无库存",0,IF(LEFT(U2,2)="清货",MIN(0,ROUNDUP(T2*AC2-J2-AN2,-1)),ROUNDUP(T2*AC2-J2-AN2,-1)))</f>
        <v/>
      </c>
      <c r="J2" s="27">
        <f>_xlfn.IFNA(VLOOKUP(E2,雅仓库存!B:J,9,0),0)</f>
        <v/>
      </c>
      <c r="K2" s="23">
        <f>_xlfn.IFNA(VLOOKUP(E2,雅仓动销!A:G,7,0),0)</f>
        <v/>
      </c>
      <c r="L2" s="23">
        <f>_xlfn.IFNA(VLOOKUP(E2,雅仓动销!A:G,6,0),0)</f>
        <v/>
      </c>
      <c r="M2" s="23">
        <f>_xlfn.IFNA(VLOOKUP(E2,雅仓动销!A:G,5,0),0)</f>
        <v/>
      </c>
      <c r="N2" s="28">
        <f>K2/(30+AV2)</f>
        <v/>
      </c>
      <c r="O2" s="28">
        <f>L2/(15+AW2)</f>
        <v/>
      </c>
      <c r="P2" s="28">
        <f>M2/(7+AX2)</f>
        <v/>
      </c>
      <c r="Q2" s="28">
        <f>IF(AND(P2=0,O2=0,N2=0),"无动销",IF(AND(P2&gt;=O2*1.1,O2&gt;=N2*1.1),"持续上升",IF(AND(P2&lt;=O2*0.9,O2&lt;=N2*0.9),"持续下滑",IF(P2&gt;=O2*1.1,"近期回升",IF(P2&lt;=O2*0.9,"近期回落","平稳")))))</f>
        <v/>
      </c>
      <c r="R2" s="28">
        <f>IF(Q2="持续上升",1.2,IF(Q2="近期回升",1.1,IF(Q2="平稳",1,IF(Q2="近期回落",0.9,IF(Q2="持续下滑",0.8,"")))))</f>
        <v/>
      </c>
      <c r="S2" s="28">
        <f>K2*数据更改!$E$2/(30+AV2)+L2*数据更改!$F$2/(15+AW2)+M2*数据更改!$G$2/(7+AX2)</f>
        <v/>
      </c>
      <c r="T2" s="29">
        <f>ROUNDUP(IF(R2="",0,S2*R2),2)</f>
        <v/>
      </c>
      <c r="U2" s="30">
        <f>IF(AND(S2=0,J2=0),"无动销无库存",IF(X2&lt;0.5,"清货-自身/整款弱销",IF(AND(S2=0,J2&gt;0),"清货-无动销有库存",IF(AND(S2&lt;=0.2,NOT(AND(AA2&lt;&gt;"未收录",IFERROR(DATEVALUE(LEFT(AA2,10))&gt;=EDATE(TODAY(),-2),FALSE)))),"清货-自身/整款弱销",IF(AND(S2&lt;=0.2,AA2&lt;&gt;"未收录",IFERROR(DATEVALUE(LEFT(AA2,10))&gt;=EDATE(TODAY(),-2),FALSE)),"新品观察-继续备货","正常备货")))))</f>
        <v/>
      </c>
      <c r="V2" s="29">
        <f>IF(OR(ISNUMBER(SEARCH("&amp;",E2)),ISNUMBER(SEARCH("+",E2)),ISNUMBER(SEARCH("x2",E2))),E2,IFERROR(IF(LEN(E2)-FIND("‖",SUBSTITUTE(E2,"-","‖",LEN(E2)-LEN(SUBSTITUTE(E2,"-",""))))&lt;=3,LEFT(E2,FIND("‖",SUBSTITUTE(E2,"-","‖",LEN(E2)-LEN(SUBSTITUTE(E2,"-",""))))-1),E2),E2))</f>
        <v/>
      </c>
      <c r="W2" s="29">
        <f>IF(AND(MAX(IFERROR(FIND("‖",SUBSTITUTE(V2,"S","‖",LEN(V2)-LEN(SUBSTITUTE(V2,"S","")))),0),IFERROR(FIND("‖",SUBSTITUTE(V2,"L","‖",LEN(V2)-LEN(SUBSTITUTE(V2,"L","")))),0))&gt;0,LEN(V2)-MAX(IFERROR(FIND("‖",SUBSTITUTE(V2,"S","‖",LEN(V2)-LEN(SUBSTITUTE(V2,"S","")))),0),IFERROR(FIND("‖",SUBSTITUTE(V2,"L","‖",LEN(V2)-LEN(SUBSTITUTE(V2,"L","")))),0))&lt;=5),LEFT(V2,MAX(IFERROR(FIND("‖",SUBSTITUTE(V2,"S","‖",LEN(V2)-LEN(SUBSTITUTE(V2,"S","")))),0),IFERROR(FIND("‖",SUBSTITUTE(V2,"L","‖",LEN(V2)-LEN(SUBSTITUTE(V2,"L","")))),0))-1),IF(ISNUMBER(RIGHT(V2,2)*1),IF(ISNUMBER(MID(V2,LEN(V2)-2,1)*1),LEFT(V2,LEN(V2)-2),IF(ISNUMBER(MID(V2,LEN(V2)-3,1)*1),LEFT(V2,LEN(V2)-3),LEFT(V2,LEN(V2)-4))),V2))</f>
        <v/>
      </c>
      <c r="X2" s="31">
        <f>IFERROR(_xlfn.MAXIFS($S:$S,$W:$W,W2),0)</f>
        <v/>
      </c>
      <c r="Y2" s="29">
        <f>COUNTIF($W:$W,W2)-COUNTIFS($W:$W,W2,$J:$J,0,$S:$S,0)</f>
        <v/>
      </c>
      <c r="Z2" s="29">
        <f>COUNTIFS($W:$W,W2,$S:$S,"&gt;0.2")</f>
        <v/>
      </c>
      <c r="AA2" s="29">
        <f>IFERROR(VLOOKUP(E2,库存商品信息!B:K,10,0),"未收录")</f>
        <v/>
      </c>
      <c r="AB2" s="29">
        <f>_xlfn.IFNA(ROUNDDOWN(J2/S2,0),0)</f>
        <v/>
      </c>
      <c r="AC2" s="29">
        <f t="array" ref="AC2">IFERROR(_xlfn.IFS(B2=1,IF(S2&gt;1,IF(AB2&lt;15,80,70),IF(AB2&lt;15,60,50)),B2=2,IF(S2&gt;1,IF(AB2&lt;15,70,60),IF(AB2&lt;15,50,40)),TRUE,0),0)</f>
        <v/>
      </c>
      <c r="AD2" s="32" t="n"/>
      <c r="AE2" s="33" t="n"/>
      <c r="AF2" s="34">
        <f>ROUNDUP(AE2*0.99,-1)</f>
        <v/>
      </c>
      <c r="AG2" s="35">
        <f>AE2/AY2*0.61-G2*1.05-5700/AY2</f>
        <v/>
      </c>
      <c r="AH2" s="36">
        <f>AG2/(AE2/AY2)</f>
        <v/>
      </c>
      <c r="AI2" s="37">
        <f>AE2*1.1</f>
        <v/>
      </c>
      <c r="AJ2" s="38" t="n"/>
      <c r="AK2" s="39">
        <f>ROUNDUP(AJ2*0.99,-1)</f>
        <v/>
      </c>
      <c r="AL2" s="40">
        <f>AJ2/AY2*0.6-G2*1.05-1.7-3000/AY2</f>
        <v/>
      </c>
      <c r="AM2" s="41">
        <f>AL2/(AJ2/AY2)</f>
        <v/>
      </c>
      <c r="AN2" s="42" t="n"/>
      <c r="AO2" s="23" t="n"/>
      <c r="AP2" s="23" t="n"/>
      <c r="AQ2" s="23" t="n"/>
      <c r="AR2" s="23" t="n"/>
      <c r="AS2" s="23" t="n"/>
      <c r="AT2" s="23" t="n"/>
      <c r="AU2" s="23" t="n"/>
      <c r="AV2" s="23">
        <f>数据更改!A2</f>
        <v/>
      </c>
      <c r="AW2" s="23">
        <f>数据更改!B2</f>
        <v/>
      </c>
      <c r="AX2" s="23">
        <f>数据更改!C2</f>
        <v/>
      </c>
      <c r="AY2" s="23">
        <f>数据更改!D2</f>
        <v/>
      </c>
    </row>
  </sheetData>
  <autoFilter ref="A1:AY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条码</t>
        </is>
      </c>
      <c r="B1" t="inlineStr">
        <is>
          <t>SKU</t>
        </is>
      </c>
      <c r="C1" t="inlineStr">
        <is>
          <t>映射条码</t>
        </is>
      </c>
      <c r="D1" t="inlineStr">
        <is>
          <t>仓库</t>
        </is>
      </c>
      <c r="E1" t="inlineStr">
        <is>
          <t>规格</t>
        </is>
      </c>
      <c r="F1" t="inlineStr">
        <is>
          <t>库存数量</t>
        </is>
      </c>
      <c r="G1" t="inlineStr">
        <is>
          <t>占用数量</t>
        </is>
      </c>
      <c r="H1" t="inlineStr">
        <is>
          <t>在途数量</t>
        </is>
      </c>
      <c r="I1" t="inlineStr">
        <is>
          <t>冻结库存</t>
        </is>
      </c>
      <c r="J1" t="inlineStr">
        <is>
          <t>可用库存</t>
        </is>
      </c>
      <c r="K1" t="inlineStr">
        <is>
          <t>中文标题</t>
        </is>
      </c>
      <c r="L1" t="inlineStr">
        <is>
          <t>英文标题</t>
        </is>
      </c>
      <c r="M1" t="inlineStr">
        <is>
          <t>图片链接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SKU</t>
        </is>
      </c>
      <c r="B1" t="inlineStr">
        <is>
          <t>商品名</t>
        </is>
      </c>
      <c r="C1" t="inlineStr">
        <is>
          <t>仓库</t>
        </is>
      </c>
      <c r="D1" t="inlineStr">
        <is>
          <t>3天销量</t>
        </is>
      </c>
      <c r="E1" t="inlineStr">
        <is>
          <t>7天销量</t>
        </is>
      </c>
      <c r="F1" t="inlineStr">
        <is>
          <t>15天销量</t>
        </is>
      </c>
      <c r="G1" t="inlineStr">
        <is>
          <t>30天销量</t>
        </is>
      </c>
      <c r="H1" t="inlineStr">
        <is>
          <t>60天销量</t>
        </is>
      </c>
      <c r="I1" t="inlineStr">
        <is>
          <t>90天销量</t>
        </is>
      </c>
      <c r="J1" t="inlineStr">
        <is>
          <t>库存</t>
        </is>
      </c>
      <c r="K1" t="inlineStr">
        <is>
          <t>占用</t>
        </is>
      </c>
      <c r="L1" t="inlineStr">
        <is>
          <t>在途</t>
        </is>
      </c>
      <c r="M1" t="inlineStr">
        <is>
          <t>冻结</t>
        </is>
      </c>
      <c r="N1" t="inlineStr">
        <is>
          <t>可用</t>
        </is>
      </c>
      <c r="O1" t="inlineStr">
        <is>
          <t>缺货数量</t>
        </is>
      </c>
      <c r="P1" t="inlineStr">
        <is>
          <t>创建日期</t>
        </is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ht="14.25" customHeight="1">
      <c r="A1" s="18" t="inlineStr">
        <is>
          <t>30天</t>
        </is>
      </c>
      <c r="B1" s="18" t="inlineStr">
        <is>
          <t>15天</t>
        </is>
      </c>
      <c r="C1" s="18" t="inlineStr">
        <is>
          <t>7天</t>
        </is>
      </c>
      <c r="D1" s="19" t="inlineStr">
        <is>
          <t>汇率</t>
        </is>
      </c>
      <c r="E1" t="inlineStr">
        <is>
          <t>30天销量权重</t>
        </is>
      </c>
      <c r="F1" t="inlineStr">
        <is>
          <t>15天销量权重</t>
        </is>
      </c>
      <c r="G1" t="inlineStr">
        <is>
          <t>7天销量权重</t>
        </is>
      </c>
    </row>
    <row r="2">
      <c r="A2" s="43" t="n">
        <v>0.8</v>
      </c>
      <c r="B2" s="43" t="n">
        <v>0.8</v>
      </c>
      <c r="C2" s="43" t="n">
        <v>0</v>
      </c>
      <c r="D2" s="43" t="n">
        <v>3900</v>
      </c>
      <c r="E2" t="n">
        <v>0.1</v>
      </c>
      <c r="F2" t="n">
        <v>0.3</v>
      </c>
      <c r="G2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9" customWidth="1" min="1" max="1"/>
    <col width="10.625" customWidth="1" min="2" max="2"/>
    <col width="9" customWidth="1" min="3" max="3"/>
  </cols>
  <sheetData>
    <row r="1">
      <c r="A1" t="inlineStr">
        <is>
          <t>条码</t>
        </is>
      </c>
      <c r="B1" t="inlineStr">
        <is>
          <t>SKU</t>
        </is>
      </c>
      <c r="C1" t="inlineStr">
        <is>
          <t>规格</t>
        </is>
      </c>
      <c r="D1" t="inlineStr">
        <is>
          <t>中文标题</t>
        </is>
      </c>
      <c r="E1" t="inlineStr">
        <is>
          <t>英文标题</t>
        </is>
      </c>
      <c r="F1" t="inlineStr">
        <is>
          <t>长</t>
        </is>
      </c>
      <c r="G1" t="inlineStr">
        <is>
          <t>宽</t>
        </is>
      </c>
      <c r="H1" t="inlineStr">
        <is>
          <t>高</t>
        </is>
      </c>
      <c r="I1" t="inlineStr">
        <is>
          <t>重量</t>
        </is>
      </c>
      <c r="J1" t="inlineStr">
        <is>
          <t>图片链接</t>
        </is>
      </c>
      <c r="K1" t="inlineStr">
        <is>
          <t>创建时间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LXE Agent</dc:creator>
  <dc:title xmlns:dc="http://purl.org/dc/elements/1.1/">越南备货清单</dc:title>
  <dc:subject xmlns:dc="http://purl.org/dc/elements/1.1/">五表计算骨架</dc:subject>
  <dcterms:created xmlns:dcterms="http://purl.org/dc/terms/" xmlns:xsi="http://www.w3.org/2001/XMLSchema-instance" xsi:type="dcterms:W3CDTF">2026-10-02T14:37:39Z</dcterms:created>
  <dcterms:modified xmlns:dcterms="http://purl.org/dc/terms/" xmlns:xsi="http://www.w3.org/2001/XMLSchema-instance" xsi:type="dcterms:W3CDTF">2026-10-08T08:08:59Z</dcterms:modified>
  <cp:lastModifiedBy>LXE Agent</cp:lastModifiedBy>
</cp:coreProperties>
</file>